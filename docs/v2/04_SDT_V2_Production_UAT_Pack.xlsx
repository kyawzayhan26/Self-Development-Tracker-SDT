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UAT Summary" sheetId="1" state="visible" r:id="rId3"/>
    <sheet name="UAT Test Cases" sheetId="2" state="visible" r:id="rId4"/>
    <sheet name="Defect Log" sheetId="3" state="visible" r:id="rId5"/>
    <sheet name="Sign-Off" sheetId="4" state="visible" r:id="rId6"/>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<sst xmlns="http://schemas.openxmlformats.org/spreadsheetml/2006/main" count="464" uniqueCount="295">
  <si>
    <t xml:space="preserve">SDT V2 - Production User Acceptance Testing (UAT) Pack</t>
  </si>
  <si>
    <t xml:space="preserve">Self Development Tracker | V2.0 | Vercel + Supabase Production Validation</t>
  </si>
  <si>
    <t xml:space="preserve">Project</t>
  </si>
  <si>
    <t xml:space="preserve">Self Development Tracker (SDT)</t>
  </si>
  <si>
    <t xml:space="preserve">Version</t>
  </si>
  <si>
    <t xml:space="preserve">2.0.0</t>
  </si>
  <si>
    <t xml:space="preserve">Environment</t>
  </si>
  <si>
    <t xml:space="preserve">Production</t>
  </si>
  <si>
    <t xml:space="preserve">Tester</t>
  </si>
  <si>
    <t xml:space="preserve">Kyaw Zay Han</t>
  </si>
  <si>
    <t xml:space="preserve">Application</t>
  </si>
  <si>
    <t xml:space="preserve">Vercel-hosted web application</t>
  </si>
  <si>
    <t xml:space="preserve">Database</t>
  </si>
  <si>
    <t xml:space="preserve">Supabase PostgreSQL</t>
  </si>
  <si>
    <t xml:space="preserve">Authentication</t>
  </si>
  <si>
    <t xml:space="preserve">Supabase Auth</t>
  </si>
  <si>
    <t xml:space="preserve">Test Type</t>
  </si>
  <si>
    <t xml:space="preserve">User Acceptance Testing</t>
  </si>
  <si>
    <t xml:space="preserve">Objective</t>
  </si>
  <si>
    <t xml:space="preserve">Validate that SDT V2 meets the approved V2 change requests and core retained V1 functionality in production.</t>
  </si>
  <si>
    <t xml:space="preserve">Scope</t>
  </si>
  <si>
    <t xml:space="preserve">Authentication, multi-user isolation/RLS, challenge lifecycle, calendar/daily tracking, notes, progress, strikes, reports, history, responsive mobile UI.</t>
  </si>
  <si>
    <t xml:space="preserve">Out of Scope</t>
  </si>
  <si>
    <t xml:space="preserve">Performance/load testing, penetration testing, browser/device matrix beyond agreed production checks, social/AI/notification features.</t>
  </si>
  <si>
    <t xml:space="preserve">Change Request</t>
  </si>
  <si>
    <t xml:space="preserve">Requirement</t>
  </si>
  <si>
    <t xml:space="preserve">Priority</t>
  </si>
  <si>
    <t xml:space="preserve">Status</t>
  </si>
  <si>
    <t xml:space="preserve">Evidence / Related Tests</t>
  </si>
  <si>
    <t xml:space="preserve">Owner</t>
  </si>
  <si>
    <t xml:space="preserve">Approval</t>
  </si>
  <si>
    <t xml:space="preserve">Notes</t>
  </si>
  <si>
    <t xml:space="preserve">CR-001</t>
  </si>
  <si>
    <t xml:space="preserve">Cloud Deployment &amp; Multi-User Access</t>
  </si>
  <si>
    <t xml:space="preserve">Critical</t>
  </si>
  <si>
    <t xml:space="preserve">In UAT</t>
  </si>
  <si>
    <t xml:space="preserve">TC-001 to TC-004, TC-012 to TC-015</t>
  </si>
  <si>
    <t xml:space="preserve">Pending</t>
  </si>
  <si>
    <t xml:space="preserve">Production deployment completed; authentication and RLS isolation require formal UAT evidence.</t>
  </si>
  <si>
    <t xml:space="preserve">CR-002</t>
  </si>
  <si>
    <t xml:space="preserve">Mobile-Responsive Interface</t>
  </si>
  <si>
    <t xml:space="preserve">High</t>
  </si>
  <si>
    <t xml:space="preserve">TC-021 to TC-024</t>
  </si>
  <si>
    <t xml:space="preserve">Primary mobile target: 393 × 852 CSS px portrait; desktop regression included.</t>
  </si>
  <si>
    <t xml:space="preserve">CR-003</t>
  </si>
  <si>
    <t xml:space="preserve">Challenge History</t>
  </si>
  <si>
    <t xml:space="preserve">TC-019, TC-025</t>
  </si>
  <si>
    <t xml:space="preserve">Completed challenges must be isolated per authenticated user.</t>
  </si>
  <si>
    <t xml:space="preserve">CR-004</t>
  </si>
  <si>
    <t xml:space="preserve">Daily Notes / Remarks</t>
  </si>
  <si>
    <t xml:space="preserve">Medium</t>
  </si>
  <si>
    <t xml:space="preserve">TC-006, TC-009, TC-010, TC-011</t>
  </si>
  <si>
    <t xml:space="preserve">One optional day-level note; blank saves as no note; max 1000 characters.</t>
  </si>
  <si>
    <t xml:space="preserve">UAT Exit Criteria</t>
  </si>
  <si>
    <t xml:space="preserve">Target</t>
  </si>
  <si>
    <t xml:space="preserve">Current Result</t>
  </si>
  <si>
    <t xml:space="preserve">Comments</t>
  </si>
  <si>
    <t xml:space="preserve">Critical test cases passed</t>
  </si>
  <si>
    <t xml:space="preserve">100%</t>
  </si>
  <si>
    <t xml:space="preserve">Not Assessed</t>
  </si>
  <si>
    <t xml:space="preserve">No unresolved critical defects.</t>
  </si>
  <si>
    <t xml:space="preserve">High-priority test cases passed</t>
  </si>
  <si>
    <t xml:space="preserve">No unresolved high-severity defects.</t>
  </si>
  <si>
    <t xml:space="preserve">Core V1 regression</t>
  </si>
  <si>
    <t xml:space="preserve">Passed</t>
  </si>
  <si>
    <t xml:space="preserve">Challenge tracking, strikes and reports remain functional.</t>
  </si>
  <si>
    <t xml:space="preserve">All four V2 CRs</t>
  </si>
  <si>
    <t xml:space="preserve">Accepted</t>
  </si>
  <si>
    <t xml:space="preserve">CR status may be closed after production UAT sign-off.</t>
  </si>
  <si>
    <t xml:space="preserve">Execution Summary</t>
  </si>
  <si>
    <t xml:space="preserve">Formula / Result</t>
  </si>
  <si>
    <t xml:space="preserve">Total Test Cases</t>
  </si>
  <si>
    <t xml:space="preserve">Failed</t>
  </si>
  <si>
    <t xml:space="preserve">Blocked</t>
  </si>
  <si>
    <t xml:space="preserve">Not Run</t>
  </si>
  <si>
    <t xml:space="preserve">Execution Guide: Execute the 'UAT Test Cases' sheet from TC-001 onward. Each row contains concrete test data, step-by-step actions, expected and failure results. Record Actual Result, Status, Evidence Ref and Defect ID directly in the same row.</t>
  </si>
  <si>
    <t xml:space="preserve">SDT V2 - Production UAT Test Cases</t>
  </si>
  <si>
    <t xml:space="preserve">Master executable UAT sheet. Execute each test case using the stated test data and steps, compare against the expected result, record the actual result, attach evidence, and log a defect if the result fails.</t>
  </si>
  <si>
    <t xml:space="preserve">Test Case ID</t>
  </si>
  <si>
    <t xml:space="preserve">CR / Area</t>
  </si>
  <si>
    <t xml:space="preserve">Test Scenario</t>
  </si>
  <si>
    <t xml:space="preserve">Preconditions</t>
  </si>
  <si>
    <t xml:space="preserve">Test Data</t>
  </si>
  <si>
    <t xml:space="preserve">Step-by-Step Test Actions</t>
  </si>
  <si>
    <t xml:space="preserve">Expected Result</t>
  </si>
  <si>
    <t xml:space="preserve">Alternative / Failure Result</t>
  </si>
  <si>
    <t xml:space="preserve">Actual Result</t>
  </si>
  <si>
    <t xml:space="preserve">Evidence Ref</t>
  </si>
  <si>
    <t xml:space="preserve">Defect ID</t>
  </si>
  <si>
    <t xml:space="preserve">TC-001</t>
  </si>
  <si>
    <t xml:space="preserve">CR-001 / Deployment</t>
  </si>
  <si>
    <t xml:space="preserve">Production application loads</t>
  </si>
  <si>
    <t xml:space="preserve">Vercel production deployment is active</t>
  </si>
  <si>
    <t xml:space="preserve">Production SDT URL</t>
  </si>
  <si>
    <t xml:space="preserve">1. Open the production SDT URL.
2. Wait for the application to load.
3. Confirm the authentication screen is displayed.</t>
  </si>
  <si>
    <t xml:space="preserve">SDT login/create-account screen loads successfully with no server/configuration error.</t>
  </si>
  <si>
    <t xml:space="preserve">Blank page, 404/500 error, configuration error, or application fails to render.</t>
  </si>
  <si>
    <t xml:space="preserve">TC-002</t>
  </si>
  <si>
    <t xml:space="preserve">CR-001 / Authentication</t>
  </si>
  <si>
    <t xml:space="preserve">Existing user login and session persistence</t>
  </si>
  <si>
    <t xml:space="preserve">Dedicated UAT User 1 exists in Supabase</t>
  </si>
  <si>
    <t xml:space="preserve">Email: uat.sdt.user1@example.com
Password: use dedicated UAT password</t>
  </si>
  <si>
    <t xml:space="preserve">1. Open the production URL.
2. Enter UAT User 1 email/password.
3. Select Sign In.
4. Confirm the correct SDT state loads.
5. Refresh the browser.</t>
  </si>
  <si>
    <t xml:space="preserve">Login succeeds; only User 1 data loads; after refresh the authenticated session persists.</t>
  </si>
  <si>
    <t xml:space="preserve">Friendly invalid-login message is acceptable only for incorrect credentials. With valid credentials, login failure, unexpected logout after refresh, or another user's data appearing is a defect.</t>
  </si>
  <si>
    <t xml:space="preserve">TC-003</t>
  </si>
  <si>
    <t xml:space="preserve">Invalid login is handled safely</t>
  </si>
  <si>
    <t xml:space="preserve">Login page is open</t>
  </si>
  <si>
    <t xml:space="preserve">Email: uat.sdt.user1@example.com
Password: deliberately incorrect password</t>
  </si>
  <si>
    <t xml:space="preserve">1. Enter the valid UAT User 1 email.
2. Enter an incorrect password.
3. Select Sign In.</t>
  </si>
  <si>
    <t xml:space="preserve">Authentication is rejected and a clear user-facing error is displayed. Protected SDT data does not load.</t>
  </si>
  <si>
    <t xml:space="preserve">Application crash, indefinite loading, raw server error, or protected data being displayed is a failure.</t>
  </si>
  <si>
    <t xml:space="preserve">TC-004</t>
  </si>
  <si>
    <t xml:space="preserve">Authenticated user can log out</t>
  </si>
  <si>
    <t xml:space="preserve">UAT User 1 is signed in</t>
  </si>
  <si>
    <t xml:space="preserve">No additional data</t>
  </si>
  <si>
    <t xml:space="preserve">1. Open the account controls or mobile ☰ menu.
2. Select Log Out.
3. Attempt to use the app after logout.</t>
  </si>
  <si>
    <t xml:space="preserve">Session ends and login screen is displayed. Protected user data is no longer shown.</t>
  </si>
  <si>
    <t xml:space="preserve">Dashboard remains accessible or protected data continues to display after logout.</t>
  </si>
  <si>
    <t xml:space="preserve">TC-005</t>
  </si>
  <si>
    <t xml:space="preserve">Core / Challenge Setup</t>
  </si>
  <si>
    <t xml:space="preserve">Create a new active challenge</t>
  </si>
  <si>
    <t xml:space="preserve">Use a UAT account with no active challenge</t>
  </si>
  <si>
    <t xml:space="preserve">Challenge: UAT Challenge A
Start: current test date
Duration: 7 days
Strikes: 3
Rules:
1. Drink 2L Water
2. Read 10 Pages
3. Walk 10,000 Steps
4. 20 Min Learning</t>
  </si>
  <si>
    <t xml:space="preserve">1. Enter challenge name.
2. Select the current test date.
3. Enter duration 7.
4. Enter strikes 3.
5. Add the four rules exactly as listed.
6. Select Start Challenge.
7. Refresh the page.</t>
  </si>
  <si>
    <t xml:space="preserve">Challenge is created once. Dashboard shows UAT Challenge A, correct date range, 7-day duration, 4 rules and 3 strikes per rule. Challenge persists after refresh.</t>
  </si>
  <si>
    <t xml:space="preserve">Validation failure despite valid data, incorrect displayed details, duplicate active challenge, or challenge disappearing after refresh.</t>
  </si>
  <si>
    <t xml:space="preserve">TC-006</t>
  </si>
  <si>
    <t xml:space="preserve">CR-004 / Daily Tracking</t>
  </si>
  <si>
    <t xml:space="preserve">Save daily checklist and note</t>
  </si>
  <si>
    <t xml:space="preserve">UAT Challenge A is active and Day 1 is within challenge range</t>
  </si>
  <si>
    <t xml:space="preserve">Day: Day 1
Completed: Drink 2L Water; Read 10 Pages; 20 Min Learning
Incomplete: Walk 10,000 Steps
Note: Production UAT - Day 1 note</t>
  </si>
  <si>
    <t xml:space="preserve">1. Open Day 1 from the calendar.
2. Tick the three completed rules.
3. Leave Walk 10,000 Steps unticked.
4. Enter the note.
5. Select Save.
6. Reopen Day 1.</t>
  </si>
  <si>
    <t xml:space="preserve">Day saves successfully. Reopened day shows the same 3 completed rules, 1 incomplete rule and exact note.</t>
  </si>
  <si>
    <t xml:space="preserve">Save failure, modal error, checklist reverting, note missing/changed, or duplicate daily data.</t>
  </si>
  <si>
    <t xml:space="preserve">TC-007</t>
  </si>
  <si>
    <t xml:space="preserve">Core / Progress</t>
  </si>
  <si>
    <t xml:space="preserve">Overall progress uses recorded days</t>
  </si>
  <si>
    <t xml:space="preserve">TC-006 has passed; challenge duration is 7 days</t>
  </si>
  <si>
    <t xml:space="preserve">1 recorded day of 7</t>
  </si>
  <si>
    <t xml:space="preserve">1. Return to dashboard after saving Day 1.
2. Inspect Overall Challenge Progress.</t>
  </si>
  <si>
    <t xml:space="preserve">Progress reflects 1 recorded day out of 7 (approximately 14% after rounding).</t>
  </si>
  <si>
    <t xml:space="preserve">Progress is based only on perfect days, counts unrecorded days as recorded, or displays an inconsistent percentage.</t>
  </si>
  <si>
    <t xml:space="preserve">TC-008</t>
  </si>
  <si>
    <t xml:space="preserve">Core / Strikes</t>
  </si>
  <si>
    <t xml:space="preserve">Recorded failure consumes a strike; unrecorded day does not</t>
  </si>
  <si>
    <t xml:space="preserve">TC-006 has passed; Day 2 has not been saved</t>
  </si>
  <si>
    <t xml:space="preserve">Day 1: Walk 10,000 Steps incomplete
Day 2: leave completely unrecorded</t>
  </si>
  <si>
    <t xml:space="preserve">1. Inspect Strikes per Rule after Day 1.
2. Confirm Walk 10,000 Steps has one missed recorded day/strike used.
3. Do not open/save Day 2.
4. Recheck strikes after Day 2 remains unrecorded.</t>
  </si>
  <si>
    <t xml:space="preserve">Walk 10,000 Steps consumes one strike from Day 1. Completed rules do not. Unrecorded Day 2 does not consume any additional strike.</t>
  </si>
  <si>
    <t xml:space="preserve">Unrecorded day consumes strikes, completed rule consumes strike, or strike count exceeds configured business rule.</t>
  </si>
  <si>
    <t xml:space="preserve">TC-009</t>
  </si>
  <si>
    <t xml:space="preserve">CR-004 / Daily Notes</t>
  </si>
  <si>
    <t xml:space="preserve">Blank daily note is supported</t>
  </si>
  <si>
    <t xml:space="preserve">Active challenge has a valid date</t>
  </si>
  <si>
    <t xml:space="preserve">Note: blank</t>
  </si>
  <si>
    <t xml:space="preserve">1. Open a valid challenge day.
2. Leave or clear the note field.
3. Save.
4. Reopen the same date.</t>
  </si>
  <si>
    <t xml:space="preserve">Day saves successfully and no note is displayed/stored for that day.</t>
  </si>
  <si>
    <t xml:space="preserve">Blank note causes validation/server error or an unintended placeholder is stored as note content.</t>
  </si>
  <si>
    <t xml:space="preserve">TC-010</t>
  </si>
  <si>
    <t xml:space="preserve">Long note within supported limit is saved</t>
  </si>
  <si>
    <t xml:space="preserve">Approximately 1000 characters of non-sensitive UAT text</t>
  </si>
  <si>
    <t xml:space="preserve">1. Open a valid challenge day.
2. Enter test text within the 1000-character limit.
3. Save.
4. Reopen the date.</t>
  </si>
  <si>
    <t xml:space="preserve">Note saves and reloads without corrupting the daily record or breaking the layout.</t>
  </si>
  <si>
    <t xml:space="preserve">Unexpected truncation within supported limit, save failure, UI breakage, or note assigned to wrong date.</t>
  </si>
  <si>
    <t xml:space="preserve">TC-011</t>
  </si>
  <si>
    <t xml:space="preserve">Core / Reports</t>
  </si>
  <si>
    <t xml:space="preserve">Progress report reflects active challenge</t>
  </si>
  <si>
    <t xml:space="preserve">UAT Challenge A has recorded data from earlier cases</t>
  </si>
  <si>
    <t xml:space="preserve">Current UAT Challenge A</t>
  </si>
  <si>
    <t xml:space="preserve">1. Open Progress Report.
2. Review challenge summary.
3. Review daily performance.
4. Review rule performance and strikes.
5. Locate the Day 1 note.</t>
  </si>
  <si>
    <t xml:space="preserve">Report belongs to User 1 and reflects recorded-day progress, checklist performance, strikes and notes accurately.</t>
  </si>
  <si>
    <t xml:space="preserve">Wrong user/challenge, missing recorded data, stale values, unauthorized error, or note shown on wrong date.</t>
  </si>
  <si>
    <t xml:space="preserve">TC-012</t>
  </si>
  <si>
    <t xml:space="preserve">CR-001 / RLS</t>
  </si>
  <si>
    <t xml:space="preserve">User 2 cannot see User 1 data</t>
  </si>
  <si>
    <t xml:space="preserve">UAT User 1 has UAT Challenge A; UAT User 2 exists</t>
  </si>
  <si>
    <t xml:space="preserve">User 2 email: uat.sdt.user2@example.com
Password: dedicated UAT password</t>
  </si>
  <si>
    <t xml:space="preserve">1. Keep User 1 signed in in the normal browser.
2. Open a private/incognito window.
3. Sign in as UAT User 2.
4. Inspect active challenge, setup and Challenge History.</t>
  </si>
  <si>
    <t xml:space="preserve">User 2 sees only User 2 state. UAT Challenge A, User 1 notes, progress and history are not visible.</t>
  </si>
  <si>
    <t xml:space="preserve">Any User 1 challenge, note, progress, task or history appears for User 2. Treat as Critical RLS defect.</t>
  </si>
  <si>
    <t xml:space="preserve">TC-013</t>
  </si>
  <si>
    <t xml:space="preserve">User 2 can create and retain own isolated data</t>
  </si>
  <si>
    <t xml:space="preserve">Signed in as UAT User 2; preferably no active challenge</t>
  </si>
  <si>
    <t xml:space="preserve">Challenge: UAT Challenge B
Duration: 2 days
Strikes: 3
Rules: Rule B1; Rule B2
Day 1 Note: User 2 isolation note</t>
  </si>
  <si>
    <t xml:space="preserve">1. Create UAT Challenge B.
2. Open Day 1.
3. Complete Rule B1 and leave Rule B2 incomplete.
4. Enter User 2 isolation note.
5. Save.
6. Refresh.
7. Log out and sign in again.</t>
  </si>
  <si>
    <t xml:space="preserve">UAT Challenge B and User 2's daily data persist and are available only to User 2.</t>
  </si>
  <si>
    <t xml:space="preserve">Data disappears after refresh/re-login, saves under wrong user, or User 1 data appears.</t>
  </si>
  <si>
    <t xml:space="preserve">TC-014</t>
  </si>
  <si>
    <t xml:space="preserve">User 1 remains isolated from User 2</t>
  </si>
  <si>
    <t xml:space="preserve">TC-013 has passed; User 1 session is available</t>
  </si>
  <si>
    <t xml:space="preserve">User 1 normal browser session</t>
  </si>
  <si>
    <t xml:space="preserve">1. Return to User 1's browser.
2. Refresh SDT.
3. Inspect dashboard and history.</t>
  </si>
  <si>
    <t xml:space="preserve">User 1 still sees UAT Challenge A/User 1 data only. UAT Challenge B and User 2 isolation note are absent.</t>
  </si>
  <si>
    <t xml:space="preserve">Any User 2 challenge/note/history appears for User 1. Treat as Critical RLS defect.</t>
  </si>
  <si>
    <t xml:space="preserve">TC-015</t>
  </si>
  <si>
    <t xml:space="preserve">CR-001 / Signup</t>
  </si>
  <si>
    <t xml:space="preserve">New public user can create account</t>
  </si>
  <si>
    <t xml:space="preserve">Use a new unused test email</t>
  </si>
  <si>
    <t xml:space="preserve">Email: uat.sdt.newuser@example.com
Password: dedicated test password of at least 8 characters</t>
  </si>
  <si>
    <t xml:space="preserve">1. Open a fresh private browser session.
2. Select Create Account.
3. Enter the new UAT email/password.
4. Submit registration.
5. Inspect initial SDT state.</t>
  </si>
  <si>
    <t xml:space="preserve">Account is created under current no-email-confirmation configuration. New user enters SDT with empty setup and no other user's challenge/history.</t>
  </si>
  <si>
    <t xml:space="preserve">Valid signup fails, another user's data appears, or account is created but application cannot initialize.</t>
  </si>
  <si>
    <t xml:space="preserve">TC-016</t>
  </si>
  <si>
    <t xml:space="preserve">Core / Lifecycle</t>
  </si>
  <si>
    <t xml:space="preserve">Create disposable lifecycle challenge</t>
  </si>
  <si>
    <t xml:space="preserve">TC-015 new user is authenticated</t>
  </si>
  <si>
    <t xml:space="preserve">Challenge: UAT Lifecycle Challenge
Start: current test date
Duration: 1 day
Strikes: 3
Rules:
1. Complete UAT
2. Read 10 Pages</t>
  </si>
  <si>
    <t xml:space="preserve">1. Enter the supplied challenge data.
2. Select Start Challenge.
3. Confirm dashboard details.</t>
  </si>
  <si>
    <t xml:space="preserve">One-day UAT Lifecycle Challenge starts with correct rules and settings.</t>
  </si>
  <si>
    <t xml:space="preserve">Challenge cannot start, wrong details appear, or duplicate active challenge is created.</t>
  </si>
  <si>
    <t xml:space="preserve">TC-017</t>
  </si>
  <si>
    <t xml:space="preserve">Core / Manual Completion</t>
  </si>
  <si>
    <t xml:space="preserve">Manually end a disposable challenge</t>
  </si>
  <si>
    <t xml:space="preserve">UAT Lifecycle Challenge is active</t>
  </si>
  <si>
    <t xml:space="preserve">Day note: Lifecycle completion test</t>
  </si>
  <si>
    <t xml:space="preserve">1. Open the challenge day.
2. Record checklist data and enter the note.
3. Save.
4. Open End Challenge.
5. Confirm the end action.</t>
  </si>
  <si>
    <t xml:space="preserve">Daily data saves; challenge closes with manual completion; active challenge is cleared.</t>
  </si>
  <si>
    <t xml:space="preserve">Wrong challenge closes, challenge remains active, confirmation flow fails, or saved day data is lost.</t>
  </si>
  <si>
    <t xml:space="preserve">TC-018</t>
  </si>
  <si>
    <t xml:space="preserve">Core / Final Report</t>
  </si>
  <si>
    <t xml:space="preserve">Final report is generated after manual completion</t>
  </si>
  <si>
    <t xml:space="preserve">TC-017 has passed</t>
  </si>
  <si>
    <t xml:space="preserve">Completed UAT Lifecycle Challenge</t>
  </si>
  <si>
    <t xml:space="preserve">1. Review the Final Report shown/opened after ending the challenge.
2. Check challenge details, daily performance, rules, strikes and note.</t>
  </si>
  <si>
    <t xml:space="preserve">Final Report belongs to the completed UAT Lifecycle Challenge and contains the correct stored results.</t>
  </si>
  <si>
    <t xml:space="preserve">Report missing, wrong challenge/user, incorrect results, or report cannot be accessed by its owner.</t>
  </si>
  <si>
    <t xml:space="preserve">TC-019</t>
  </si>
  <si>
    <t xml:space="preserve">CR-003 / History</t>
  </si>
  <si>
    <t xml:space="preserve">Completed challenge appears in Challenge History</t>
  </si>
  <si>
    <t xml:space="preserve">UAT Lifecycle Challenge</t>
  </si>
  <si>
    <t xml:space="preserve">1. Return to SDT.
2. Open Challenge History.
3. Locate UAT Lifecycle Challenge.
4. Select View Final Report.</t>
  </si>
  <si>
    <t xml:space="preserve">Completed challenge appears with appropriate completion status/details; historical Final Report opens for the selected challenge.</t>
  </si>
  <si>
    <t xml:space="preserve">Completed challenge missing, wrong user's challenge appears, or View Final Report opens wrong/inaccessible report.</t>
  </si>
  <si>
    <t xml:space="preserve">TC-020</t>
  </si>
  <si>
    <t xml:space="preserve">New challenge can start after previous completion</t>
  </si>
  <si>
    <t xml:space="preserve">TC-017 has passed and no active challenge remains</t>
  </si>
  <si>
    <t xml:space="preserve">New challenge data of tester's choice</t>
  </si>
  <si>
    <t xml:space="preserve">1. Return to setup.
2. Enter valid new challenge details.
3. Start the new challenge.
4. Reopen Challenge History.</t>
  </si>
  <si>
    <t xml:space="preserve">New active challenge can be created; previously completed UAT Lifecycle Challenge remains in history.</t>
  </si>
  <si>
    <t xml:space="preserve">Previous completion blocks a new challenge or completed history disappears.</t>
  </si>
  <si>
    <t xml:space="preserve">TC-021</t>
  </si>
  <si>
    <t xml:space="preserve">CR-002 / Mobile</t>
  </si>
  <si>
    <t xml:space="preserve">Mobile dashboard fits target viewport</t>
  </si>
  <si>
    <t xml:space="preserve">Authenticated user has active challenge</t>
  </si>
  <si>
    <t xml:space="preserve">Viewport: approximately 393 × 852 CSS px portrait</t>
  </si>
  <si>
    <t xml:space="preserve">1. Open production SDT at 393 × 852 portrait.
2. Inspect header, active challenge summary, month controls, progress card and calendar.
3. Scroll vertically through dashboard.</t>
  </si>
  <si>
    <t xml:space="preserve">Compact mobile layout is usable; 7-column calendar fits; no unintended whole-page horizontal scrolling or overlapping controls.</t>
  </si>
  <si>
    <t xml:space="preserve">Page requires unintended horizontal scrolling, content overlaps/clips, or calendar becomes unusable.</t>
  </si>
  <si>
    <t xml:space="preserve">TC-022</t>
  </si>
  <si>
    <t xml:space="preserve">Mobile hamburger menu and actions work</t>
  </si>
  <si>
    <t xml:space="preserve">Mobile viewport; authenticated user has active challenge</t>
  </si>
  <si>
    <t xml:space="preserve">393 × 852 portrait</t>
  </si>
  <si>
    <t xml:space="preserve">1. Open ☰.
2. Confirm signed-in email.
3. Open Challenge History and close it.
4. Reopen ☰ and open Progress Report.
5. Reopen ☰ and verify End Challenge and Log Out are present.</t>
  </si>
  <si>
    <t xml:space="preserve">Offcanvas opens/closes correctly; correct email is shown; menu actions invoke the existing functions without frozen backdrops.</t>
  </si>
  <si>
    <t xml:space="preserve">Menu fails, email is wrong, action does nothing, overlapping/frozen Bootstrap backdrop occurs, or expected active-challenge action is missing.</t>
  </si>
  <si>
    <t xml:space="preserve">TC-023</t>
  </si>
  <si>
    <t xml:space="preserve">Mobile menu adapts when no active challenge exists</t>
  </si>
  <si>
    <t xml:space="preserve">Authenticated user has no active challenge</t>
  </si>
  <si>
    <t xml:space="preserve">No active challenge</t>
  </si>
  <si>
    <t xml:space="preserve">1. Open SDT on mobile with no active challenge.
2. Open ☰.
3. Inspect available actions.</t>
  </si>
  <si>
    <t xml:space="preserve">Challenge History and Log Out remain available. Progress Report and End Challenge are hidden.</t>
  </si>
  <si>
    <t xml:space="preserve">Progress/End actions remain visible without an active challenge, or essential account/history actions disappear.</t>
  </si>
  <si>
    <t xml:space="preserve">TC-024</t>
  </si>
  <si>
    <t xml:space="preserve">CR-002 / Responsive</t>
  </si>
  <si>
    <t xml:space="preserve">Desktop and landscape regression check</t>
  </si>
  <si>
    <t xml:space="preserve">Production app available</t>
  </si>
  <si>
    <t xml:space="preserve">Mobile landscape and normal desktop width</t>
  </si>
  <si>
    <t xml:space="preserve">1. Rotate mobile to landscape and inspect usability.
2. Open the same app at desktop width.
3. Exercise account bar, challenge actions, month navigation and calendar day modal.</t>
  </si>
  <si>
    <t xml:space="preserve">Landscape remains usable; desktop account bar/actions return; desktop calendar and day modal remain functional.</t>
  </si>
  <si>
    <t xml:space="preserve">Responsive state is stuck, desktop controls remain hidden, or previously working desktop functions regress.</t>
  </si>
  <si>
    <t xml:space="preserve">TC-025</t>
  </si>
  <si>
    <t xml:space="preserve">CR-003 / RLS</t>
  </si>
  <si>
    <t xml:space="preserve">Challenge History is isolated between users</t>
  </si>
  <si>
    <t xml:space="preserve">User 1 and User 2 have distinct completed challenge data</t>
  </si>
  <si>
    <t xml:space="preserve">UAT User 1 and UAT User 2</t>
  </si>
  <si>
    <t xml:space="preserve">1. Sign in as User 1 and open Challenge History.
2. Record visible completed challenges.
3. Sign in as User 2 and open Challenge History.
4. Compare.</t>
  </si>
  <si>
    <t xml:space="preserve">Each user sees only their own completed challenges.</t>
  </si>
  <si>
    <t xml:space="preserve">Any completed challenge belonging to another user appears. Treat as Critical RLS defect.</t>
  </si>
  <si>
    <t xml:space="preserve">SDT V2 - UAT Defect Log</t>
  </si>
  <si>
    <t xml:space="preserve">Related Test Case</t>
  </si>
  <si>
    <t xml:space="preserve">Date Raised</t>
  </si>
  <si>
    <t xml:space="preserve">Summary</t>
  </si>
  <si>
    <t xml:space="preserve">Steps / Context</t>
  </si>
  <si>
    <t xml:space="preserve">Severity</t>
  </si>
  <si>
    <t xml:space="preserve">Resolution / Retest Notes</t>
  </si>
  <si>
    <t xml:space="preserve">Open</t>
  </si>
  <si>
    <t xml:space="preserve">SDT V2 - Production UAT Sign-Off</t>
  </si>
  <si>
    <t xml:space="preserve">Release</t>
  </si>
  <si>
    <t xml:space="preserve">SDT V2</t>
  </si>
  <si>
    <t xml:space="preserve">Date</t>
  </si>
  <si>
    <t xml:space="preserve">Decision</t>
  </si>
  <si>
    <t xml:space="preserve">Outstanding Defects</t>
  </si>
  <si>
    <t xml:space="preserve">Approved By</t>
  </si>
  <si>
    <t xml:space="preserve">Acceptance statement: The tester confirms that SDT V2 has been validated against the approved V2 change requests and retained core functionality in the production environment. Any exceptions must be recorded in the Defect Log and referenced in this sign-off.</t>
  </si>
</sst>
</file>

<file path=xl/styles.xml><?xml version="1.0" encoding="utf-8"?>
<styleSheet xmlns="http://schemas.openxmlformats.org/spreadsheetml/2006/main">
  <numFmts count="1">
    <numFmt numFmtId="164" formatCode="General"/>
  </numFmts>
  <fonts count="9">
    <font>
      <sz val="10"/>
      <name val="Arial"/>
      <family val="2"/>
    </font>
    <font>
      <sz val="10"/>
      <name val="Arial"/>
      <family val="0"/>
    </font>
    <font>
      <sz val="10"/>
      <name val="Arial"/>
      <family val="0"/>
    </font>
    <font>
      <sz val="10"/>
      <name val="Arial"/>
      <family val="0"/>
    </font>
    <font>
      <sz val="11"/>
      <name val="Calibri"/>
      <family val="0"/>
      <charset val="1"/>
    </font>
    <font>
      <b val="true"/>
      <sz val="16"/>
      <color rgb="FFFFFFFF"/>
      <name val="Calibri"/>
      <family val="0"/>
      <charset val="1"/>
    </font>
    <font>
      <i val="true"/>
      <sz val="11"/>
      <color rgb="FF244062"/>
      <name val="Calibri"/>
      <family val="0"/>
      <charset val="1"/>
    </font>
    <font>
      <b val="true"/>
      <sz val="11"/>
      <color rgb="FFFFFFFF"/>
      <name val="Calibri"/>
      <family val="0"/>
      <charset val="1"/>
    </font>
    <font>
      <b val="true"/>
      <sz val="11"/>
      <color rgb="FF7F6000"/>
      <name val="Calibri"/>
      <family val="0"/>
      <charset val="1"/>
    </font>
  </fonts>
  <fills count="6">
    <fill>
      <patternFill patternType="none"/>
    </fill>
    <fill>
      <patternFill patternType="gray125"/>
    </fill>
    <fill>
      <patternFill patternType="solid">
        <fgColor rgb="FF1F4E78"/>
        <bgColor rgb="FF244062"/>
      </patternFill>
    </fill>
    <fill>
      <patternFill patternType="solid">
        <fgColor rgb="FFD9EAF7"/>
        <bgColor rgb="FFE7E6E6"/>
      </patternFill>
    </fill>
    <fill>
      <patternFill patternType="solid">
        <fgColor rgb="FF4472C4"/>
        <bgColor rgb="FF156082"/>
      </patternFill>
    </fill>
    <fill>
      <patternFill patternType="solid">
        <fgColor rgb="FFFFF2CC"/>
        <bgColor rgb="FFFCE4D6"/>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true" applyAlignment="true" applyProtection="false">
      <alignment horizontal="left" vertical="center" textRotation="0" wrapText="false" indent="0" shrinkToFit="false"/>
      <protection locked="true" hidden="false"/>
    </xf>
    <xf numFmtId="164" fontId="6" fillId="3" borderId="0" xfId="20" applyFont="true" applyBorder="true" applyAlignment="false" applyProtection="false">
      <alignment horizontal="general" vertical="bottom" textRotation="0" wrapText="false" indent="0" shrinkToFit="false"/>
      <protection locked="true" hidden="false"/>
    </xf>
    <xf numFmtId="164" fontId="4" fillId="0" borderId="0" xfId="20" applyFont="true" applyBorder="true" applyAlignment="true" applyProtection="false">
      <alignment horizontal="general" vertical="top" textRotation="0" wrapText="true" indent="0" shrinkToFit="false"/>
      <protection locked="true" hidden="false"/>
    </xf>
    <xf numFmtId="164" fontId="7" fillId="4" borderId="0" xfId="20" applyFont="true" applyBorder="true" applyAlignment="true" applyProtection="false">
      <alignment horizontal="center" vertical="top" textRotation="0" wrapText="true" indent="0" shrinkToFit="false"/>
      <protection locked="true" hidden="false"/>
    </xf>
    <xf numFmtId="164" fontId="8" fillId="5" borderId="0" xfId="20" applyFont="true" applyBorder="true" applyAlignment="true" applyProtection="false">
      <alignment horizontal="general" vertical="bottom" textRotation="0" wrapText="true" indent="0" shrinkToFit="false"/>
      <protection locked="true" hidden="false"/>
    </xf>
    <xf numFmtId="164" fontId="5" fillId="2" borderId="0" xfId="20" applyFont="true" applyBorder="true" applyAlignment="true" applyProtection="false">
      <alignment horizontal="general" vertical="center" textRotation="0" wrapText="false" indent="0" shrinkToFit="false"/>
      <protection locked="true" hidden="false"/>
    </xf>
    <xf numFmtId="164" fontId="6" fillId="3" borderId="0" xfId="20" applyFont="true" applyBorder="true" applyAlignment="true" applyProtection="fals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16">
    <dxf>
      <fill>
        <patternFill patternType="solid">
          <fgColor rgb="FF4472C4"/>
          <bgColor rgb="FF000000"/>
        </patternFill>
      </fill>
    </dxf>
    <dxf>
      <fill>
        <patternFill patternType="solid">
          <bgColor rgb="FF000000"/>
        </patternFill>
      </fill>
    </dxf>
    <dxf>
      <fill>
        <patternFill patternType="solid">
          <fgColor rgb="FFFFFFFF"/>
          <bgColor rgb="FF000000"/>
        </patternFill>
      </fill>
    </dxf>
    <dxf>
      <fill>
        <patternFill patternType="solid">
          <fgColor rgb="FFE7E6E6"/>
          <bgColor rgb="FF000000"/>
        </patternFill>
      </fill>
    </dxf>
    <dxf>
      <fill>
        <patternFill patternType="solid">
          <fgColor rgb="FF595959"/>
          <bgColor rgb="FF000000"/>
        </patternFill>
      </fill>
    </dxf>
    <dxf>
      <font>
        <b val="1"/>
        <color rgb="FF375623"/>
      </font>
      <fill>
        <patternFill>
          <bgColor rgb="FFE2F0D9"/>
        </patternFill>
      </fill>
    </dxf>
    <dxf>
      <font>
        <b val="1"/>
        <color rgb="FFC00000"/>
      </font>
      <fill>
        <patternFill>
          <bgColor rgb="FFFCE4D6"/>
        </patternFill>
      </fill>
    </dxf>
    <dxf>
      <font>
        <b val="1"/>
        <color rgb="FF7F6000"/>
      </font>
      <fill>
        <patternFill>
          <bgColor rgb="FFFFF2CC"/>
        </patternFill>
      </fill>
    </dxf>
    <dxf>
      <font>
        <color rgb="FF595959"/>
      </font>
      <fill>
        <patternFill>
          <bgColor rgb="FFE7E6E6"/>
        </patternFill>
      </fill>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7" name="TableStyleMedium2">
      <tableStyleElement dxfId="9" type="wholeTable"/>
      <tableStyleElement dxfId="10" type="firstColumnStripe"/>
      <tableStyleElement dxfId="11" type="firstRowStripe"/>
      <tableStyleElement dxfId="12" type="lastColumn"/>
      <tableStyleElement dxfId="13" type="firstColumn"/>
      <tableStyleElement dxfId="14" type="headerRow"/>
      <tableStyleElement dxfId="15" type="totalRow"/>
    </tableStyle>
  </tableStyles>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156082"/>
      <rgbColor rgb="FFC0C0C0"/>
      <rgbColor rgb="FF808080"/>
      <rgbColor rgb="FF9999FF"/>
      <rgbColor rgb="FF993366"/>
      <rgbColor rgb="FFFFF2CC"/>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7E6E6"/>
      <rgbColor rgb="FFE2F0D9"/>
      <rgbColor rgb="FFFFFF99"/>
      <rgbColor rgb="FF99CCFF"/>
      <rgbColor rgb="FFFF99CC"/>
      <rgbColor rgb="FFCC99FF"/>
      <rgbColor rgb="FFFCE4D6"/>
      <rgbColor rgb="FF4472C4"/>
      <rgbColor rgb="FF46B1E1"/>
      <rgbColor rgb="FF99CC00"/>
      <rgbColor rgb="FFFFCC00"/>
      <rgbColor rgb="FFFF9900"/>
      <rgbColor rgb="FFFF6600"/>
      <rgbColor rgb="FF595959"/>
      <rgbColor rgb="FF969696"/>
      <rgbColor rgb="FF003366"/>
      <rgbColor rgb="FF339966"/>
      <rgbColor rgb="FF003300"/>
      <rgbColor rgb="FF375623"/>
      <rgbColor rgb="FF993300"/>
      <rgbColor rgb="FF993366"/>
      <rgbColor rgb="FF1F4E78"/>
      <rgbColor rgb="FF24406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ables/table1.xml><?xml version="1.0" encoding="utf-8"?>
<table xmlns="http://schemas.openxmlformats.org/spreadsheetml/2006/main" id="1" name="MasterUATCases" displayName="MasterUATCases" ref="A4:N29" headerRowCount="1" totalsRowCount="0" totalsRowShown="0">
  <tableColumns count="14">
    <tableColumn id="1" name="Test Case ID"/>
    <tableColumn id="2" name="CR / Area"/>
    <tableColumn id="3" name="Priority"/>
    <tableColumn id="4" name="Test Scenario"/>
    <tableColumn id="5" name="Preconditions"/>
    <tableColumn id="6" name="Test Data"/>
    <tableColumn id="7" name="Step-by-Step Test Actions"/>
    <tableColumn id="8" name="Expected Result"/>
    <tableColumn id="9" name="Alternative / Failure Result"/>
    <tableColumn id="10" name="Actual Result"/>
    <tableColumn id="11" name="Status"/>
    <tableColumn id="12" name="Evidence Ref"/>
    <tableColumn id="13" name="Defect ID"/>
    <tableColumn id="14" name="Comments"/>
  </tableColumns>
  <tableStyleInfo name="TableStyleMedium2" showFirstColumn="0" showLastColumn="0" showRowStripes="1" showColumnStripes="0"/>
</table>
</file>

<file path=xl/tables/table2.xml><?xml version="1.0" encoding="utf-8"?>
<table xmlns="http://schemas.openxmlformats.org/spreadsheetml/2006/main" id="2" name="UATDefects" displayName="UATDefects" ref="A3:L28" headerRowCount="1" totalsRowCount="0" totalsRowShown="0">
  <tableColumns count="12">
    <tableColumn id="1" name="Defect ID"/>
    <tableColumn id="2" name="Related Test Case"/>
    <tableColumn id="3" name="Date Raised"/>
    <tableColumn id="4" name="Summary"/>
    <tableColumn id="5" name="Steps / Context"/>
    <tableColumn id="6" name="Expected Result"/>
    <tableColumn id="7" name="Actual Result"/>
    <tableColumn id="8" name="Severity"/>
    <tableColumn id="9" name="Priority"/>
    <tableColumn id="10" name="Status"/>
    <tableColumn id="11" name="Owner"/>
    <tableColumn id="12" name="Resolution / Retest Notes"/>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34"/>
    <col collapsed="false" customWidth="true" hidden="false" outlineLevel="0" max="3" min="3" style="0" width="15"/>
    <col collapsed="false" customWidth="true" hidden="false" outlineLevel="0" max="4" min="4" style="0" width="20"/>
    <col collapsed="false" customWidth="true" hidden="false" outlineLevel="0" max="5" min="5" style="0" width="18"/>
    <col collapsed="false" customWidth="true" hidden="false" outlineLevel="0" max="6" min="6" style="0" width="24"/>
    <col collapsed="false" customWidth="true" hidden="false" outlineLevel="0" max="7" min="7" style="0" width="16"/>
    <col collapsed="false" customWidth="true" hidden="false" outlineLevel="0" max="8" min="8" style="0" width="34"/>
  </cols>
  <sheetData>
    <row r="1" customFormat="false" ht="19.7" hidden="false" customHeight="false" outlineLevel="0" collapsed="false">
      <c r="A1" s="1" t="s">
        <v>0</v>
      </c>
      <c r="B1" s="1"/>
      <c r="C1" s="1"/>
      <c r="D1" s="1"/>
      <c r="E1" s="1"/>
      <c r="F1" s="1"/>
      <c r="G1" s="1"/>
      <c r="H1" s="1"/>
    </row>
    <row r="2" customFormat="false" ht="15" hidden="false" customHeight="false" outlineLevel="0" collapsed="false">
      <c r="A2" s="2" t="s">
        <v>1</v>
      </c>
      <c r="B2" s="2"/>
      <c r="C2" s="2"/>
      <c r="D2" s="2"/>
      <c r="E2" s="2"/>
      <c r="F2" s="2"/>
      <c r="G2" s="2"/>
      <c r="H2" s="2"/>
    </row>
    <row r="4" customFormat="false" ht="15" hidden="false" customHeight="false" outlineLevel="0" collapsed="false">
      <c r="A4" s="3" t="s">
        <v>2</v>
      </c>
      <c r="B4" s="3" t="s">
        <v>3</v>
      </c>
      <c r="C4" s="3" t="s">
        <v>4</v>
      </c>
      <c r="D4" s="3" t="s">
        <v>5</v>
      </c>
      <c r="E4" s="3" t="s">
        <v>6</v>
      </c>
      <c r="F4" s="3" t="s">
        <v>7</v>
      </c>
      <c r="G4" s="3" t="s">
        <v>8</v>
      </c>
      <c r="H4" s="3" t="s">
        <v>9</v>
      </c>
    </row>
    <row r="5" customFormat="false" ht="15" hidden="false" customHeight="false" outlineLevel="0" collapsed="false">
      <c r="A5" s="3" t="s">
        <v>10</v>
      </c>
      <c r="B5" s="3" t="s">
        <v>11</v>
      </c>
      <c r="C5" s="3" t="s">
        <v>12</v>
      </c>
      <c r="D5" s="3" t="s">
        <v>13</v>
      </c>
      <c r="E5" s="3" t="s">
        <v>14</v>
      </c>
      <c r="F5" s="3" t="s">
        <v>15</v>
      </c>
      <c r="G5" s="3" t="s">
        <v>16</v>
      </c>
      <c r="H5" s="3" t="s">
        <v>17</v>
      </c>
    </row>
    <row r="6" customFormat="false" ht="35.05" hidden="false" customHeight="false" outlineLevel="0" collapsed="false">
      <c r="A6" s="3" t="s">
        <v>18</v>
      </c>
      <c r="B6" s="3" t="s">
        <v>19</v>
      </c>
      <c r="C6" s="3"/>
      <c r="D6" s="3"/>
      <c r="E6" s="3"/>
      <c r="F6" s="3"/>
      <c r="G6" s="3"/>
      <c r="H6" s="3"/>
    </row>
    <row r="7" customFormat="false" ht="57.45" hidden="false" customHeight="false" outlineLevel="0" collapsed="false">
      <c r="A7" s="3" t="s">
        <v>20</v>
      </c>
      <c r="B7" s="3" t="s">
        <v>21</v>
      </c>
      <c r="C7" s="3"/>
      <c r="D7" s="3"/>
      <c r="E7" s="3"/>
      <c r="F7" s="3"/>
      <c r="G7" s="3"/>
      <c r="H7" s="3"/>
    </row>
    <row r="8" customFormat="false" ht="46.25" hidden="false" customHeight="false" outlineLevel="0" collapsed="false">
      <c r="A8" s="3" t="s">
        <v>22</v>
      </c>
      <c r="B8" s="3" t="s">
        <v>23</v>
      </c>
      <c r="C8" s="3"/>
      <c r="D8" s="3"/>
      <c r="E8" s="3"/>
      <c r="F8" s="3"/>
      <c r="G8" s="3"/>
      <c r="H8" s="3"/>
    </row>
    <row r="9" customFormat="false" ht="15" hidden="false" customHeight="false" outlineLevel="0" collapsed="false">
      <c r="A9" s="3"/>
      <c r="B9" s="3"/>
      <c r="C9" s="3"/>
      <c r="D9" s="3"/>
      <c r="E9" s="3"/>
      <c r="F9" s="3"/>
      <c r="G9" s="3"/>
      <c r="H9" s="3"/>
    </row>
    <row r="10" customFormat="false" ht="23.85" hidden="false" customHeight="false" outlineLevel="0" collapsed="false">
      <c r="A10" s="4" t="s">
        <v>24</v>
      </c>
      <c r="B10" s="4" t="s">
        <v>25</v>
      </c>
      <c r="C10" s="4" t="s">
        <v>26</v>
      </c>
      <c r="D10" s="4" t="s">
        <v>27</v>
      </c>
      <c r="E10" s="4" t="s">
        <v>28</v>
      </c>
      <c r="F10" s="4" t="s">
        <v>29</v>
      </c>
      <c r="G10" s="4" t="s">
        <v>30</v>
      </c>
      <c r="H10" s="4" t="s">
        <v>31</v>
      </c>
    </row>
    <row r="11" customFormat="false" ht="35.05" hidden="false" customHeight="false" outlineLevel="0" collapsed="false">
      <c r="A11" s="3" t="s">
        <v>32</v>
      </c>
      <c r="B11" s="3" t="s">
        <v>33</v>
      </c>
      <c r="C11" s="3" t="s">
        <v>34</v>
      </c>
      <c r="D11" s="3" t="s">
        <v>35</v>
      </c>
      <c r="E11" s="3" t="s">
        <v>36</v>
      </c>
      <c r="F11" s="3" t="s">
        <v>9</v>
      </c>
      <c r="G11" s="3" t="s">
        <v>37</v>
      </c>
      <c r="H11" s="3" t="s">
        <v>38</v>
      </c>
    </row>
    <row r="12" customFormat="false" ht="35.05" hidden="false" customHeight="false" outlineLevel="0" collapsed="false">
      <c r="A12" s="3" t="s">
        <v>39</v>
      </c>
      <c r="B12" s="3" t="s">
        <v>40</v>
      </c>
      <c r="C12" s="3" t="s">
        <v>41</v>
      </c>
      <c r="D12" s="3" t="s">
        <v>35</v>
      </c>
      <c r="E12" s="3" t="s">
        <v>42</v>
      </c>
      <c r="F12" s="3" t="s">
        <v>9</v>
      </c>
      <c r="G12" s="3" t="s">
        <v>37</v>
      </c>
      <c r="H12" s="3" t="s">
        <v>43</v>
      </c>
    </row>
    <row r="13" customFormat="false" ht="23.85" hidden="false" customHeight="false" outlineLevel="0" collapsed="false">
      <c r="A13" s="3" t="s">
        <v>44</v>
      </c>
      <c r="B13" s="3" t="s">
        <v>45</v>
      </c>
      <c r="C13" s="3" t="s">
        <v>41</v>
      </c>
      <c r="D13" s="3" t="s">
        <v>35</v>
      </c>
      <c r="E13" s="3" t="s">
        <v>46</v>
      </c>
      <c r="F13" s="3" t="s">
        <v>9</v>
      </c>
      <c r="G13" s="3" t="s">
        <v>37</v>
      </c>
      <c r="H13" s="3" t="s">
        <v>47</v>
      </c>
    </row>
    <row r="14" customFormat="false" ht="23.85" hidden="false" customHeight="false" outlineLevel="0" collapsed="false">
      <c r="A14" s="3" t="s">
        <v>48</v>
      </c>
      <c r="B14" s="3" t="s">
        <v>49</v>
      </c>
      <c r="C14" s="3" t="s">
        <v>50</v>
      </c>
      <c r="D14" s="3" t="s">
        <v>35</v>
      </c>
      <c r="E14" s="3" t="s">
        <v>51</v>
      </c>
      <c r="F14" s="3" t="s">
        <v>9</v>
      </c>
      <c r="G14" s="3" t="s">
        <v>37</v>
      </c>
      <c r="H14" s="3" t="s">
        <v>52</v>
      </c>
    </row>
    <row r="15" customFormat="false" ht="15" hidden="false" customHeight="false" outlineLevel="0" collapsed="false">
      <c r="A15" s="3"/>
      <c r="B15" s="3"/>
      <c r="C15" s="3"/>
      <c r="D15" s="3"/>
      <c r="E15" s="3"/>
      <c r="F15" s="3"/>
      <c r="G15" s="3"/>
      <c r="H15" s="3"/>
    </row>
    <row r="16" customFormat="false" ht="15" hidden="false" customHeight="false" outlineLevel="0" collapsed="false">
      <c r="A16" s="4" t="s">
        <v>53</v>
      </c>
      <c r="B16" s="4" t="s">
        <v>54</v>
      </c>
      <c r="C16" s="4" t="s">
        <v>55</v>
      </c>
      <c r="D16" s="4" t="s">
        <v>27</v>
      </c>
      <c r="E16" s="4" t="s">
        <v>56</v>
      </c>
      <c r="F16" s="4"/>
      <c r="G16" s="4"/>
      <c r="H16" s="4"/>
    </row>
    <row r="17" customFormat="false" ht="23.85" hidden="false" customHeight="false" outlineLevel="0" collapsed="false">
      <c r="A17" s="3" t="s">
        <v>57</v>
      </c>
      <c r="B17" s="3" t="s">
        <v>58</v>
      </c>
      <c r="C17" s="3"/>
      <c r="D17" s="3" t="s">
        <v>59</v>
      </c>
      <c r="E17" s="3" t="s">
        <v>60</v>
      </c>
      <c r="F17" s="3"/>
      <c r="G17" s="3"/>
      <c r="H17" s="3"/>
    </row>
    <row r="18" customFormat="false" ht="23.85" hidden="false" customHeight="false" outlineLevel="0" collapsed="false">
      <c r="A18" s="3" t="s">
        <v>61</v>
      </c>
      <c r="B18" s="3" t="s">
        <v>58</v>
      </c>
      <c r="C18" s="3"/>
      <c r="D18" s="3" t="s">
        <v>59</v>
      </c>
      <c r="E18" s="3" t="s">
        <v>62</v>
      </c>
      <c r="F18" s="3"/>
      <c r="G18" s="3"/>
      <c r="H18" s="3"/>
    </row>
    <row r="19" customFormat="false" ht="35.05" hidden="false" customHeight="false" outlineLevel="0" collapsed="false">
      <c r="A19" s="3" t="s">
        <v>63</v>
      </c>
      <c r="B19" s="3" t="s">
        <v>64</v>
      </c>
      <c r="C19" s="3"/>
      <c r="D19" s="3" t="s">
        <v>59</v>
      </c>
      <c r="E19" s="3" t="s">
        <v>65</v>
      </c>
      <c r="F19" s="3"/>
      <c r="G19" s="3"/>
      <c r="H19" s="3"/>
    </row>
    <row r="20" customFormat="false" ht="46.25" hidden="false" customHeight="false" outlineLevel="0" collapsed="false">
      <c r="A20" s="3" t="s">
        <v>66</v>
      </c>
      <c r="B20" s="3" t="s">
        <v>67</v>
      </c>
      <c r="C20" s="3"/>
      <c r="D20" s="3" t="s">
        <v>59</v>
      </c>
      <c r="E20" s="3" t="s">
        <v>68</v>
      </c>
      <c r="F20" s="3"/>
      <c r="G20" s="3"/>
      <c r="H20" s="3"/>
    </row>
    <row r="21" customFormat="false" ht="15" hidden="false" customHeight="false" outlineLevel="0" collapsed="false">
      <c r="A21" s="3"/>
      <c r="B21" s="3"/>
      <c r="C21" s="3"/>
      <c r="D21" s="3"/>
      <c r="E21" s="3"/>
      <c r="F21" s="3"/>
      <c r="G21" s="3"/>
      <c r="H21" s="3"/>
    </row>
    <row r="22" customFormat="false" ht="15" hidden="false" customHeight="false" outlineLevel="0" collapsed="false">
      <c r="A22" s="4" t="s">
        <v>69</v>
      </c>
      <c r="B22" s="4" t="s">
        <v>70</v>
      </c>
      <c r="C22" s="4"/>
      <c r="D22" s="4"/>
      <c r="E22" s="4"/>
      <c r="F22" s="4"/>
      <c r="G22" s="4"/>
      <c r="H22" s="4"/>
    </row>
    <row r="23" customFormat="false" ht="15" hidden="false" customHeight="false" outlineLevel="0" collapsed="false">
      <c r="A23" s="3" t="s">
        <v>71</v>
      </c>
      <c r="B23" s="3" t="n">
        <f aca="false">COUNTA('UAT Test Cases'!A5:A29)</f>
        <v>25</v>
      </c>
      <c r="C23" s="3"/>
      <c r="D23" s="3"/>
      <c r="E23" s="3"/>
      <c r="F23" s="3"/>
      <c r="G23" s="3"/>
      <c r="H23" s="3"/>
    </row>
    <row r="24" customFormat="false" ht="15" hidden="false" customHeight="false" outlineLevel="0" collapsed="false">
      <c r="A24" s="3" t="s">
        <v>64</v>
      </c>
      <c r="B24" s="3" t="n">
        <f aca="false">COUNTIF('UAT Test Cases'!K5:K29,"Pass")</f>
        <v>0</v>
      </c>
      <c r="C24" s="3"/>
      <c r="D24" s="3"/>
      <c r="E24" s="3"/>
      <c r="F24" s="3"/>
      <c r="G24" s="3"/>
      <c r="H24" s="3"/>
    </row>
    <row r="25" customFormat="false" ht="15" hidden="false" customHeight="false" outlineLevel="0" collapsed="false">
      <c r="A25" s="3" t="s">
        <v>72</v>
      </c>
      <c r="B25" s="3" t="n">
        <f aca="false">COUNTIF('UAT Test Cases'!K5:K29,"Fail")</f>
        <v>0</v>
      </c>
      <c r="C25" s="3"/>
      <c r="D25" s="3"/>
      <c r="E25" s="3"/>
      <c r="F25" s="3"/>
      <c r="G25" s="3"/>
      <c r="H25" s="3"/>
    </row>
    <row r="26" customFormat="false" ht="15" hidden="false" customHeight="false" outlineLevel="0" collapsed="false">
      <c r="A26" s="3" t="s">
        <v>73</v>
      </c>
      <c r="B26" s="3" t="n">
        <f aca="false">COUNTIF('UAT Test Cases'!K5:K29,"Blocked")</f>
        <v>0</v>
      </c>
      <c r="C26" s="3"/>
      <c r="D26" s="3"/>
      <c r="E26" s="3"/>
      <c r="F26" s="3"/>
      <c r="G26" s="3"/>
      <c r="H26" s="3"/>
    </row>
    <row r="27" customFormat="false" ht="15" hidden="false" customHeight="false" outlineLevel="0" collapsed="false">
      <c r="A27" s="3" t="s">
        <v>74</v>
      </c>
      <c r="B27" s="3" t="n">
        <f aca="false">COUNTIF('UAT Test Cases'!K5:K29,"Not Run")</f>
        <v>25</v>
      </c>
      <c r="C27" s="3"/>
      <c r="D27" s="3"/>
      <c r="E27" s="3"/>
      <c r="F27" s="3"/>
      <c r="G27" s="3"/>
      <c r="H27" s="3"/>
    </row>
    <row r="29" customFormat="false" ht="23.85" hidden="false" customHeight="true" outlineLevel="0" collapsed="false">
      <c r="A29" s="5" t="s">
        <v>75</v>
      </c>
      <c r="B29" s="5"/>
      <c r="C29" s="5"/>
      <c r="D29" s="5"/>
      <c r="E29" s="5"/>
      <c r="F29" s="5"/>
      <c r="G29" s="5"/>
      <c r="H29" s="5"/>
    </row>
  </sheetData>
  <mergeCells count="3">
    <mergeCell ref="A1:H1"/>
    <mergeCell ref="A2:H2"/>
    <mergeCell ref="A29:H29"/>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9"/>
  <sheetViews>
    <sheetView showFormulas="false" showGridLines="true" showRowColHeaders="true" showZeros="true" rightToLeft="false" tabSelected="true" showOutlineSymbols="true" defaultGridColor="true" view="normal" topLeftCell="B1" colorId="64" zoomScale="100" zoomScaleNormal="100" zoomScalePageLayoutView="100" workbookViewId="0">
      <selection pane="topLeft" activeCell="G6" activeCellId="0" sqref="G6"/>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11"/>
    <col collapsed="false" customWidth="true" hidden="false" outlineLevel="0" max="4" min="4" style="0" width="30"/>
    <col collapsed="false" customWidth="true" hidden="false" outlineLevel="0" max="5" min="5" style="0" width="32"/>
    <col collapsed="false" customWidth="true" hidden="false" outlineLevel="0" max="6" min="6" style="0" width="36"/>
    <col collapsed="false" customWidth="true" hidden="false" outlineLevel="0" max="7" min="7" style="0" width="48"/>
    <col collapsed="false" customWidth="true" hidden="false" outlineLevel="0" max="9" min="8" style="0" width="46"/>
    <col collapsed="false" customWidth="true" hidden="false" outlineLevel="0" max="10" min="10" style="0" width="38"/>
    <col collapsed="false" customWidth="true" hidden="false" outlineLevel="0" max="11" min="11" style="0" width="12"/>
    <col collapsed="false" customWidth="true" hidden="false" outlineLevel="0" max="12" min="12" style="0" width="18"/>
    <col collapsed="false" customWidth="true" hidden="false" outlineLevel="0" max="13" min="13" style="0" width="14"/>
    <col collapsed="false" customWidth="true" hidden="false" outlineLevel="0" max="14" min="14" style="0" width="30"/>
  </cols>
  <sheetData>
    <row r="1" customFormat="false" ht="19.7" hidden="false" customHeight="false" outlineLevel="0" collapsed="false">
      <c r="A1" s="6" t="s">
        <v>76</v>
      </c>
      <c r="B1" s="6"/>
      <c r="C1" s="6"/>
      <c r="D1" s="6"/>
      <c r="E1" s="6"/>
      <c r="F1" s="6"/>
      <c r="G1" s="6"/>
      <c r="H1" s="6"/>
      <c r="I1" s="6"/>
      <c r="J1" s="6"/>
      <c r="K1" s="6"/>
      <c r="L1" s="6"/>
      <c r="M1" s="6"/>
      <c r="N1" s="6"/>
    </row>
    <row r="2" customFormat="false" ht="15" hidden="false" customHeight="true" outlineLevel="0" collapsed="false">
      <c r="A2" s="7" t="s">
        <v>77</v>
      </c>
      <c r="B2" s="7"/>
      <c r="C2" s="7"/>
      <c r="D2" s="7"/>
      <c r="E2" s="7"/>
      <c r="F2" s="7"/>
      <c r="G2" s="7"/>
      <c r="H2" s="7"/>
      <c r="I2" s="7"/>
      <c r="J2" s="7"/>
      <c r="K2" s="7"/>
      <c r="L2" s="7"/>
      <c r="M2" s="7"/>
      <c r="N2" s="7"/>
    </row>
    <row r="4" customFormat="false" ht="15" hidden="false" customHeight="false" outlineLevel="0" collapsed="false">
      <c r="A4" s="4" t="s">
        <v>78</v>
      </c>
      <c r="B4" s="4" t="s">
        <v>79</v>
      </c>
      <c r="C4" s="4" t="s">
        <v>26</v>
      </c>
      <c r="D4" s="4" t="s">
        <v>80</v>
      </c>
      <c r="E4" s="4" t="s">
        <v>81</v>
      </c>
      <c r="F4" s="4" t="s">
        <v>82</v>
      </c>
      <c r="G4" s="4" t="s">
        <v>83</v>
      </c>
      <c r="H4" s="4" t="s">
        <v>84</v>
      </c>
      <c r="I4" s="4" t="s">
        <v>85</v>
      </c>
      <c r="J4" s="4" t="s">
        <v>86</v>
      </c>
      <c r="K4" s="4" t="s">
        <v>27</v>
      </c>
      <c r="L4" s="4" t="s">
        <v>87</v>
      </c>
      <c r="M4" s="4" t="s">
        <v>88</v>
      </c>
      <c r="N4" s="4" t="s">
        <v>56</v>
      </c>
    </row>
    <row r="5" customFormat="false" ht="35.05" hidden="false" customHeight="false" outlineLevel="0" collapsed="false">
      <c r="A5" s="3" t="s">
        <v>89</v>
      </c>
      <c r="B5" s="3" t="s">
        <v>90</v>
      </c>
      <c r="C5" s="3" t="s">
        <v>34</v>
      </c>
      <c r="D5" s="3" t="s">
        <v>91</v>
      </c>
      <c r="E5" s="3" t="s">
        <v>92</v>
      </c>
      <c r="F5" s="3" t="s">
        <v>93</v>
      </c>
      <c r="G5" s="3" t="s">
        <v>94</v>
      </c>
      <c r="H5" s="3" t="s">
        <v>95</v>
      </c>
      <c r="I5" s="3" t="s">
        <v>96</v>
      </c>
      <c r="J5" s="3"/>
      <c r="K5" s="3" t="s">
        <v>74</v>
      </c>
      <c r="L5" s="3"/>
      <c r="M5" s="3"/>
      <c r="N5" s="3"/>
    </row>
    <row r="6" customFormat="false" ht="57.45" hidden="false" customHeight="false" outlineLevel="0" collapsed="false">
      <c r="A6" s="3" t="s">
        <v>97</v>
      </c>
      <c r="B6" s="3" t="s">
        <v>98</v>
      </c>
      <c r="C6" s="3" t="s">
        <v>34</v>
      </c>
      <c r="D6" s="3" t="s">
        <v>99</v>
      </c>
      <c r="E6" s="3" t="s">
        <v>100</v>
      </c>
      <c r="F6" s="3" t="s">
        <v>101</v>
      </c>
      <c r="G6" s="3" t="s">
        <v>102</v>
      </c>
      <c r="H6" s="3" t="s">
        <v>103</v>
      </c>
      <c r="I6" s="3" t="s">
        <v>104</v>
      </c>
      <c r="J6" s="3"/>
      <c r="K6" s="3" t="s">
        <v>74</v>
      </c>
      <c r="L6" s="3"/>
      <c r="M6" s="3"/>
      <c r="N6" s="3"/>
    </row>
    <row r="7" customFormat="false" ht="35.05" hidden="false" customHeight="false" outlineLevel="0" collapsed="false">
      <c r="A7" s="3" t="s">
        <v>105</v>
      </c>
      <c r="B7" s="3" t="s">
        <v>98</v>
      </c>
      <c r="C7" s="3" t="s">
        <v>41</v>
      </c>
      <c r="D7" s="3" t="s">
        <v>106</v>
      </c>
      <c r="E7" s="3" t="s">
        <v>107</v>
      </c>
      <c r="F7" s="3" t="s">
        <v>108</v>
      </c>
      <c r="G7" s="3" t="s">
        <v>109</v>
      </c>
      <c r="H7" s="3" t="s">
        <v>110</v>
      </c>
      <c r="I7" s="3" t="s">
        <v>111</v>
      </c>
      <c r="J7" s="3"/>
      <c r="K7" s="3" t="s">
        <v>74</v>
      </c>
      <c r="L7" s="3"/>
      <c r="M7" s="3"/>
      <c r="N7" s="3"/>
    </row>
    <row r="8" customFormat="false" ht="35.05" hidden="false" customHeight="false" outlineLevel="0" collapsed="false">
      <c r="A8" s="3" t="s">
        <v>112</v>
      </c>
      <c r="B8" s="3" t="s">
        <v>98</v>
      </c>
      <c r="C8" s="3" t="s">
        <v>41</v>
      </c>
      <c r="D8" s="3" t="s">
        <v>113</v>
      </c>
      <c r="E8" s="3" t="s">
        <v>114</v>
      </c>
      <c r="F8" s="3" t="s">
        <v>115</v>
      </c>
      <c r="G8" s="3" t="s">
        <v>116</v>
      </c>
      <c r="H8" s="3" t="s">
        <v>117</v>
      </c>
      <c r="I8" s="3" t="s">
        <v>118</v>
      </c>
      <c r="J8" s="3"/>
      <c r="K8" s="3" t="s">
        <v>74</v>
      </c>
      <c r="L8" s="3"/>
      <c r="M8" s="3"/>
      <c r="N8" s="3"/>
    </row>
    <row r="9" customFormat="false" ht="102.2" hidden="false" customHeight="false" outlineLevel="0" collapsed="false">
      <c r="A9" s="3" t="s">
        <v>119</v>
      </c>
      <c r="B9" s="3" t="s">
        <v>120</v>
      </c>
      <c r="C9" s="3" t="s">
        <v>34</v>
      </c>
      <c r="D9" s="3" t="s">
        <v>121</v>
      </c>
      <c r="E9" s="3" t="s">
        <v>122</v>
      </c>
      <c r="F9" s="3" t="s">
        <v>123</v>
      </c>
      <c r="G9" s="3" t="s">
        <v>124</v>
      </c>
      <c r="H9" s="3" t="s">
        <v>125</v>
      </c>
      <c r="I9" s="3" t="s">
        <v>126</v>
      </c>
      <c r="J9" s="3"/>
      <c r="K9" s="3" t="s">
        <v>74</v>
      </c>
      <c r="L9" s="3"/>
      <c r="M9" s="3"/>
      <c r="N9" s="3"/>
    </row>
    <row r="10" customFormat="false" ht="68.65" hidden="false" customHeight="false" outlineLevel="0" collapsed="false">
      <c r="A10" s="3" t="s">
        <v>127</v>
      </c>
      <c r="B10" s="3" t="s">
        <v>128</v>
      </c>
      <c r="C10" s="3" t="s">
        <v>34</v>
      </c>
      <c r="D10" s="3" t="s">
        <v>129</v>
      </c>
      <c r="E10" s="3" t="s">
        <v>130</v>
      </c>
      <c r="F10" s="3" t="s">
        <v>131</v>
      </c>
      <c r="G10" s="3" t="s">
        <v>132</v>
      </c>
      <c r="H10" s="3" t="s">
        <v>133</v>
      </c>
      <c r="I10" s="3" t="s">
        <v>134</v>
      </c>
      <c r="J10" s="3"/>
      <c r="K10" s="3" t="s">
        <v>74</v>
      </c>
      <c r="L10" s="3"/>
      <c r="M10" s="3"/>
      <c r="N10" s="3"/>
    </row>
    <row r="11" customFormat="false" ht="35.05" hidden="false" customHeight="false" outlineLevel="0" collapsed="false">
      <c r="A11" s="3" t="s">
        <v>135</v>
      </c>
      <c r="B11" s="3" t="s">
        <v>136</v>
      </c>
      <c r="C11" s="3" t="s">
        <v>34</v>
      </c>
      <c r="D11" s="3" t="s">
        <v>137</v>
      </c>
      <c r="E11" s="3" t="s">
        <v>138</v>
      </c>
      <c r="F11" s="3" t="s">
        <v>139</v>
      </c>
      <c r="G11" s="3" t="s">
        <v>140</v>
      </c>
      <c r="H11" s="3" t="s">
        <v>141</v>
      </c>
      <c r="I11" s="3" t="s">
        <v>142</v>
      </c>
      <c r="J11" s="3"/>
      <c r="K11" s="3" t="s">
        <v>74</v>
      </c>
      <c r="L11" s="3"/>
      <c r="M11" s="3"/>
      <c r="N11" s="3"/>
    </row>
    <row r="12" customFormat="false" ht="57.45" hidden="false" customHeight="false" outlineLevel="0" collapsed="false">
      <c r="A12" s="3" t="s">
        <v>143</v>
      </c>
      <c r="B12" s="3" t="s">
        <v>144</v>
      </c>
      <c r="C12" s="3" t="s">
        <v>34</v>
      </c>
      <c r="D12" s="3" t="s">
        <v>145</v>
      </c>
      <c r="E12" s="3" t="s">
        <v>146</v>
      </c>
      <c r="F12" s="3" t="s">
        <v>147</v>
      </c>
      <c r="G12" s="3" t="s">
        <v>148</v>
      </c>
      <c r="H12" s="3" t="s">
        <v>149</v>
      </c>
      <c r="I12" s="3" t="s">
        <v>150</v>
      </c>
      <c r="J12" s="3"/>
      <c r="K12" s="3" t="s">
        <v>74</v>
      </c>
      <c r="L12" s="3"/>
      <c r="M12" s="3"/>
      <c r="N12" s="3"/>
    </row>
    <row r="13" customFormat="false" ht="46.25" hidden="false" customHeight="false" outlineLevel="0" collapsed="false">
      <c r="A13" s="3" t="s">
        <v>151</v>
      </c>
      <c r="B13" s="3" t="s">
        <v>152</v>
      </c>
      <c r="C13" s="3" t="s">
        <v>50</v>
      </c>
      <c r="D13" s="3" t="s">
        <v>153</v>
      </c>
      <c r="E13" s="3" t="s">
        <v>154</v>
      </c>
      <c r="F13" s="3" t="s">
        <v>155</v>
      </c>
      <c r="G13" s="3" t="s">
        <v>156</v>
      </c>
      <c r="H13" s="3" t="s">
        <v>157</v>
      </c>
      <c r="I13" s="3" t="s">
        <v>158</v>
      </c>
      <c r="J13" s="3"/>
      <c r="K13" s="3" t="s">
        <v>74</v>
      </c>
      <c r="L13" s="3"/>
      <c r="M13" s="3"/>
      <c r="N13" s="3"/>
    </row>
    <row r="14" customFormat="false" ht="46.25" hidden="false" customHeight="false" outlineLevel="0" collapsed="false">
      <c r="A14" s="3" t="s">
        <v>159</v>
      </c>
      <c r="B14" s="3" t="s">
        <v>152</v>
      </c>
      <c r="C14" s="3" t="s">
        <v>50</v>
      </c>
      <c r="D14" s="3" t="s">
        <v>160</v>
      </c>
      <c r="E14" s="3" t="s">
        <v>154</v>
      </c>
      <c r="F14" s="3" t="s">
        <v>161</v>
      </c>
      <c r="G14" s="3" t="s">
        <v>162</v>
      </c>
      <c r="H14" s="3" t="s">
        <v>163</v>
      </c>
      <c r="I14" s="3" t="s">
        <v>164</v>
      </c>
      <c r="J14" s="3"/>
      <c r="K14" s="3" t="s">
        <v>74</v>
      </c>
      <c r="L14" s="3"/>
      <c r="M14" s="3"/>
      <c r="N14" s="3"/>
    </row>
    <row r="15" customFormat="false" ht="57.45" hidden="false" customHeight="false" outlineLevel="0" collapsed="false">
      <c r="A15" s="3" t="s">
        <v>165</v>
      </c>
      <c r="B15" s="3" t="s">
        <v>166</v>
      </c>
      <c r="C15" s="3" t="s">
        <v>41</v>
      </c>
      <c r="D15" s="3" t="s">
        <v>167</v>
      </c>
      <c r="E15" s="3" t="s">
        <v>168</v>
      </c>
      <c r="F15" s="3" t="s">
        <v>169</v>
      </c>
      <c r="G15" s="3" t="s">
        <v>170</v>
      </c>
      <c r="H15" s="3" t="s">
        <v>171</v>
      </c>
      <c r="I15" s="3" t="s">
        <v>172</v>
      </c>
      <c r="J15" s="3"/>
      <c r="K15" s="3" t="s">
        <v>74</v>
      </c>
      <c r="L15" s="3"/>
      <c r="M15" s="3"/>
      <c r="N15" s="3"/>
    </row>
    <row r="16" customFormat="false" ht="46.25" hidden="false" customHeight="false" outlineLevel="0" collapsed="false">
      <c r="A16" s="3" t="s">
        <v>173</v>
      </c>
      <c r="B16" s="3" t="s">
        <v>174</v>
      </c>
      <c r="C16" s="3" t="s">
        <v>34</v>
      </c>
      <c r="D16" s="3" t="s">
        <v>175</v>
      </c>
      <c r="E16" s="3" t="s">
        <v>176</v>
      </c>
      <c r="F16" s="3" t="s">
        <v>177</v>
      </c>
      <c r="G16" s="3" t="s">
        <v>178</v>
      </c>
      <c r="H16" s="3" t="s">
        <v>179</v>
      </c>
      <c r="I16" s="3" t="s">
        <v>180</v>
      </c>
      <c r="J16" s="3"/>
      <c r="K16" s="3" t="s">
        <v>74</v>
      </c>
      <c r="L16" s="3"/>
      <c r="M16" s="3"/>
      <c r="N16" s="3"/>
    </row>
    <row r="17" customFormat="false" ht="79.85" hidden="false" customHeight="false" outlineLevel="0" collapsed="false">
      <c r="A17" s="3" t="s">
        <v>181</v>
      </c>
      <c r="B17" s="3" t="s">
        <v>174</v>
      </c>
      <c r="C17" s="3" t="s">
        <v>34</v>
      </c>
      <c r="D17" s="3" t="s">
        <v>182</v>
      </c>
      <c r="E17" s="3" t="s">
        <v>183</v>
      </c>
      <c r="F17" s="3" t="s">
        <v>184</v>
      </c>
      <c r="G17" s="3" t="s">
        <v>185</v>
      </c>
      <c r="H17" s="3" t="s">
        <v>186</v>
      </c>
      <c r="I17" s="3" t="s">
        <v>187</v>
      </c>
      <c r="J17" s="3"/>
      <c r="K17" s="3" t="s">
        <v>74</v>
      </c>
      <c r="L17" s="3"/>
      <c r="M17" s="3"/>
      <c r="N17" s="3"/>
    </row>
    <row r="18" customFormat="false" ht="35.05" hidden="false" customHeight="false" outlineLevel="0" collapsed="false">
      <c r="A18" s="3" t="s">
        <v>188</v>
      </c>
      <c r="B18" s="3" t="s">
        <v>174</v>
      </c>
      <c r="C18" s="3" t="s">
        <v>34</v>
      </c>
      <c r="D18" s="3" t="s">
        <v>189</v>
      </c>
      <c r="E18" s="3" t="s">
        <v>190</v>
      </c>
      <c r="F18" s="3" t="s">
        <v>191</v>
      </c>
      <c r="G18" s="3" t="s">
        <v>192</v>
      </c>
      <c r="H18" s="3" t="s">
        <v>193</v>
      </c>
      <c r="I18" s="3" t="s">
        <v>194</v>
      </c>
      <c r="J18" s="3"/>
      <c r="K18" s="3" t="s">
        <v>74</v>
      </c>
      <c r="L18" s="3"/>
      <c r="M18" s="3"/>
      <c r="N18" s="3"/>
    </row>
    <row r="19" customFormat="false" ht="57.45" hidden="false" customHeight="false" outlineLevel="0" collapsed="false">
      <c r="A19" s="3" t="s">
        <v>195</v>
      </c>
      <c r="B19" s="3" t="s">
        <v>196</v>
      </c>
      <c r="C19" s="3" t="s">
        <v>34</v>
      </c>
      <c r="D19" s="3" t="s">
        <v>197</v>
      </c>
      <c r="E19" s="3" t="s">
        <v>198</v>
      </c>
      <c r="F19" s="3" t="s">
        <v>199</v>
      </c>
      <c r="G19" s="3" t="s">
        <v>200</v>
      </c>
      <c r="H19" s="3" t="s">
        <v>201</v>
      </c>
      <c r="I19" s="3" t="s">
        <v>202</v>
      </c>
      <c r="J19" s="3"/>
      <c r="K19" s="3" t="s">
        <v>74</v>
      </c>
      <c r="L19" s="3"/>
      <c r="M19" s="3"/>
      <c r="N19" s="3"/>
    </row>
    <row r="20" customFormat="false" ht="79.85" hidden="false" customHeight="false" outlineLevel="0" collapsed="false">
      <c r="A20" s="3" t="s">
        <v>203</v>
      </c>
      <c r="B20" s="3" t="s">
        <v>204</v>
      </c>
      <c r="C20" s="3" t="s">
        <v>34</v>
      </c>
      <c r="D20" s="3" t="s">
        <v>205</v>
      </c>
      <c r="E20" s="3" t="s">
        <v>206</v>
      </c>
      <c r="F20" s="3" t="s">
        <v>207</v>
      </c>
      <c r="G20" s="3" t="s">
        <v>208</v>
      </c>
      <c r="H20" s="3" t="s">
        <v>209</v>
      </c>
      <c r="I20" s="3" t="s">
        <v>210</v>
      </c>
      <c r="J20" s="3"/>
      <c r="K20" s="3" t="s">
        <v>74</v>
      </c>
      <c r="L20" s="3"/>
      <c r="M20" s="3"/>
      <c r="N20" s="3"/>
    </row>
    <row r="21" customFormat="false" ht="57.45" hidden="false" customHeight="false" outlineLevel="0" collapsed="false">
      <c r="A21" s="3" t="s">
        <v>211</v>
      </c>
      <c r="B21" s="3" t="s">
        <v>212</v>
      </c>
      <c r="C21" s="3" t="s">
        <v>34</v>
      </c>
      <c r="D21" s="3" t="s">
        <v>213</v>
      </c>
      <c r="E21" s="3" t="s">
        <v>214</v>
      </c>
      <c r="F21" s="3" t="s">
        <v>215</v>
      </c>
      <c r="G21" s="3" t="s">
        <v>216</v>
      </c>
      <c r="H21" s="3" t="s">
        <v>217</v>
      </c>
      <c r="I21" s="3" t="s">
        <v>218</v>
      </c>
      <c r="J21" s="3"/>
      <c r="K21" s="3" t="s">
        <v>74</v>
      </c>
      <c r="L21" s="3"/>
      <c r="M21" s="3"/>
      <c r="N21" s="3"/>
    </row>
    <row r="22" customFormat="false" ht="46.25" hidden="false" customHeight="false" outlineLevel="0" collapsed="false">
      <c r="A22" s="3" t="s">
        <v>219</v>
      </c>
      <c r="B22" s="3" t="s">
        <v>220</v>
      </c>
      <c r="C22" s="3" t="s">
        <v>34</v>
      </c>
      <c r="D22" s="3" t="s">
        <v>221</v>
      </c>
      <c r="E22" s="3" t="s">
        <v>222</v>
      </c>
      <c r="F22" s="3" t="s">
        <v>223</v>
      </c>
      <c r="G22" s="3" t="s">
        <v>224</v>
      </c>
      <c r="H22" s="3" t="s">
        <v>225</v>
      </c>
      <c r="I22" s="3" t="s">
        <v>226</v>
      </c>
      <c r="J22" s="3"/>
      <c r="K22" s="3" t="s">
        <v>74</v>
      </c>
      <c r="L22" s="3"/>
      <c r="M22" s="3"/>
      <c r="N22" s="3"/>
    </row>
    <row r="23" customFormat="false" ht="46.25" hidden="false" customHeight="false" outlineLevel="0" collapsed="false">
      <c r="A23" s="3" t="s">
        <v>227</v>
      </c>
      <c r="B23" s="3" t="s">
        <v>228</v>
      </c>
      <c r="C23" s="3" t="s">
        <v>41</v>
      </c>
      <c r="D23" s="3" t="s">
        <v>229</v>
      </c>
      <c r="E23" s="3" t="s">
        <v>222</v>
      </c>
      <c r="F23" s="3" t="s">
        <v>230</v>
      </c>
      <c r="G23" s="3" t="s">
        <v>231</v>
      </c>
      <c r="H23" s="3" t="s">
        <v>232</v>
      </c>
      <c r="I23" s="3" t="s">
        <v>233</v>
      </c>
      <c r="J23" s="3"/>
      <c r="K23" s="3" t="s">
        <v>74</v>
      </c>
      <c r="L23" s="3"/>
      <c r="M23" s="3"/>
      <c r="N23" s="3"/>
    </row>
    <row r="24" customFormat="false" ht="46.25" hidden="false" customHeight="false" outlineLevel="0" collapsed="false">
      <c r="A24" s="3" t="s">
        <v>234</v>
      </c>
      <c r="B24" s="3" t="s">
        <v>204</v>
      </c>
      <c r="C24" s="3" t="s">
        <v>41</v>
      </c>
      <c r="D24" s="3" t="s">
        <v>235</v>
      </c>
      <c r="E24" s="3" t="s">
        <v>236</v>
      </c>
      <c r="F24" s="3" t="s">
        <v>237</v>
      </c>
      <c r="G24" s="3" t="s">
        <v>238</v>
      </c>
      <c r="H24" s="3" t="s">
        <v>239</v>
      </c>
      <c r="I24" s="3" t="s">
        <v>240</v>
      </c>
      <c r="J24" s="3"/>
      <c r="K24" s="3" t="s">
        <v>74</v>
      </c>
      <c r="L24" s="3"/>
      <c r="M24" s="3"/>
      <c r="N24" s="3"/>
    </row>
    <row r="25" customFormat="false" ht="46.25" hidden="false" customHeight="false" outlineLevel="0" collapsed="false">
      <c r="A25" s="3" t="s">
        <v>241</v>
      </c>
      <c r="B25" s="3" t="s">
        <v>242</v>
      </c>
      <c r="C25" s="3" t="s">
        <v>41</v>
      </c>
      <c r="D25" s="3" t="s">
        <v>243</v>
      </c>
      <c r="E25" s="3" t="s">
        <v>244</v>
      </c>
      <c r="F25" s="3" t="s">
        <v>245</v>
      </c>
      <c r="G25" s="3" t="s">
        <v>246</v>
      </c>
      <c r="H25" s="3" t="s">
        <v>247</v>
      </c>
      <c r="I25" s="3" t="s">
        <v>248</v>
      </c>
      <c r="J25" s="3"/>
      <c r="K25" s="3" t="s">
        <v>74</v>
      </c>
      <c r="L25" s="3"/>
      <c r="M25" s="3"/>
      <c r="N25" s="3"/>
    </row>
    <row r="26" customFormat="false" ht="68.65" hidden="false" customHeight="false" outlineLevel="0" collapsed="false">
      <c r="A26" s="3" t="s">
        <v>249</v>
      </c>
      <c r="B26" s="3" t="s">
        <v>242</v>
      </c>
      <c r="C26" s="3" t="s">
        <v>41</v>
      </c>
      <c r="D26" s="3" t="s">
        <v>250</v>
      </c>
      <c r="E26" s="3" t="s">
        <v>251</v>
      </c>
      <c r="F26" s="3" t="s">
        <v>252</v>
      </c>
      <c r="G26" s="3" t="s">
        <v>253</v>
      </c>
      <c r="H26" s="3" t="s">
        <v>254</v>
      </c>
      <c r="I26" s="3" t="s">
        <v>255</v>
      </c>
      <c r="J26" s="3"/>
      <c r="K26" s="3" t="s">
        <v>74</v>
      </c>
      <c r="L26" s="3"/>
      <c r="M26" s="3"/>
      <c r="N26" s="3"/>
    </row>
    <row r="27" customFormat="false" ht="35.05" hidden="false" customHeight="false" outlineLevel="0" collapsed="false">
      <c r="A27" s="3" t="s">
        <v>256</v>
      </c>
      <c r="B27" s="3" t="s">
        <v>242</v>
      </c>
      <c r="C27" s="3" t="s">
        <v>41</v>
      </c>
      <c r="D27" s="3" t="s">
        <v>257</v>
      </c>
      <c r="E27" s="3" t="s">
        <v>258</v>
      </c>
      <c r="F27" s="3" t="s">
        <v>259</v>
      </c>
      <c r="G27" s="3" t="s">
        <v>260</v>
      </c>
      <c r="H27" s="3" t="s">
        <v>261</v>
      </c>
      <c r="I27" s="3" t="s">
        <v>262</v>
      </c>
      <c r="J27" s="3"/>
      <c r="K27" s="3" t="s">
        <v>74</v>
      </c>
      <c r="L27" s="3"/>
      <c r="M27" s="3"/>
      <c r="N27" s="3"/>
    </row>
    <row r="28" customFormat="false" ht="46.25" hidden="false" customHeight="false" outlineLevel="0" collapsed="false">
      <c r="A28" s="3" t="s">
        <v>263</v>
      </c>
      <c r="B28" s="3" t="s">
        <v>264</v>
      </c>
      <c r="C28" s="3" t="s">
        <v>50</v>
      </c>
      <c r="D28" s="3" t="s">
        <v>265</v>
      </c>
      <c r="E28" s="3" t="s">
        <v>266</v>
      </c>
      <c r="F28" s="3" t="s">
        <v>267</v>
      </c>
      <c r="G28" s="3" t="s">
        <v>268</v>
      </c>
      <c r="H28" s="3" t="s">
        <v>269</v>
      </c>
      <c r="I28" s="3" t="s">
        <v>270</v>
      </c>
      <c r="J28" s="3"/>
      <c r="K28" s="3" t="s">
        <v>74</v>
      </c>
      <c r="L28" s="3"/>
      <c r="M28" s="3"/>
      <c r="N28" s="3"/>
    </row>
    <row r="29" customFormat="false" ht="46.25" hidden="false" customHeight="false" outlineLevel="0" collapsed="false">
      <c r="A29" s="3" t="s">
        <v>271</v>
      </c>
      <c r="B29" s="3" t="s">
        <v>272</v>
      </c>
      <c r="C29" s="3" t="s">
        <v>34</v>
      </c>
      <c r="D29" s="3" t="s">
        <v>273</v>
      </c>
      <c r="E29" s="3" t="s">
        <v>274</v>
      </c>
      <c r="F29" s="3" t="s">
        <v>275</v>
      </c>
      <c r="G29" s="3" t="s">
        <v>276</v>
      </c>
      <c r="H29" s="3" t="s">
        <v>277</v>
      </c>
      <c r="I29" s="3" t="s">
        <v>278</v>
      </c>
      <c r="J29" s="3"/>
      <c r="K29" s="3" t="s">
        <v>74</v>
      </c>
      <c r="L29" s="3"/>
      <c r="M29" s="3"/>
      <c r="N29" s="3"/>
    </row>
  </sheetData>
  <mergeCells count="2">
    <mergeCell ref="A1:N1"/>
    <mergeCell ref="A2:N2"/>
  </mergeCells>
  <conditionalFormatting sqref="K5:K29">
    <cfRule type="expression" priority="2" aboveAverage="0" equalAverage="0" bottom="0" percent="0" rank="0" text="" dxfId="5">
      <formula>K5="Pass"</formula>
    </cfRule>
    <cfRule type="expression" priority="3" aboveAverage="0" equalAverage="0" bottom="0" percent="0" rank="0" text="" dxfId="6">
      <formula>K5="Fail"</formula>
    </cfRule>
    <cfRule type="expression" priority="4" aboveAverage="0" equalAverage="0" bottom="0" percent="0" rank="0" text="" dxfId="7">
      <formula>K5="Blocked"</formula>
    </cfRule>
    <cfRule type="expression" priority="5" aboveAverage="0" equalAverage="0" bottom="0" percent="0" rank="0" text="" dxfId="8">
      <formula>K5="Not Run"</formula>
    </cfRule>
  </conditionalFormatting>
  <dataValidations count="2">
    <dataValidation allowBlank="false" errorStyle="stop" operator="between" showDropDown="false" showErrorMessage="false" showInputMessage="false" sqref="K5:K29" type="list">
      <formula1>"Not Run,Pass,Fail,Blocked,N/A"</formula1>
      <formula2>0</formula2>
    </dataValidation>
    <dataValidation allowBlank="false" errorStyle="stop" operator="between" showDropDown="false" showErrorMessage="false" showInputMessage="false" sqref="C5:C29" type="list">
      <formula1>"Critical,High,Medium,Low"</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14"/>
    <col collapsed="false" customWidth="true" hidden="false" outlineLevel="0" max="4" min="4" style="0" width="30"/>
    <col collapsed="false" customWidth="true" hidden="false" outlineLevel="0" max="5" min="5" style="0" width="38"/>
    <col collapsed="false" customWidth="true" hidden="false" outlineLevel="0" max="7" min="6" style="0" width="35"/>
    <col collapsed="false" customWidth="true" hidden="false" outlineLevel="0" max="9" min="8" style="0" width="12"/>
    <col collapsed="false" customWidth="true" hidden="false" outlineLevel="0" max="11" min="10" style="0" width="18"/>
    <col collapsed="false" customWidth="true" hidden="false" outlineLevel="0" max="12" min="12" style="0" width="35"/>
  </cols>
  <sheetData>
    <row r="1" customFormat="false" ht="19.7" hidden="false" customHeight="false" outlineLevel="0" collapsed="false">
      <c r="A1" s="1" t="s">
        <v>279</v>
      </c>
      <c r="B1" s="1"/>
      <c r="C1" s="1"/>
      <c r="D1" s="1"/>
      <c r="E1" s="1"/>
      <c r="F1" s="1"/>
      <c r="G1" s="1"/>
      <c r="H1" s="1"/>
      <c r="I1" s="1"/>
      <c r="J1" s="1"/>
      <c r="K1" s="1"/>
      <c r="L1" s="1"/>
    </row>
    <row r="3" customFormat="false" ht="15" hidden="false" customHeight="false" outlineLevel="0" collapsed="false">
      <c r="A3" s="4" t="s">
        <v>88</v>
      </c>
      <c r="B3" s="4" t="s">
        <v>280</v>
      </c>
      <c r="C3" s="4" t="s">
        <v>281</v>
      </c>
      <c r="D3" s="4" t="s">
        <v>282</v>
      </c>
      <c r="E3" s="4" t="s">
        <v>283</v>
      </c>
      <c r="F3" s="4" t="s">
        <v>84</v>
      </c>
      <c r="G3" s="4" t="s">
        <v>86</v>
      </c>
      <c r="H3" s="4" t="s">
        <v>284</v>
      </c>
      <c r="I3" s="4" t="s">
        <v>26</v>
      </c>
      <c r="J3" s="4" t="s">
        <v>27</v>
      </c>
      <c r="K3" s="4" t="s">
        <v>29</v>
      </c>
      <c r="L3" s="4" t="s">
        <v>285</v>
      </c>
    </row>
    <row r="4" customFormat="false" ht="15" hidden="false" customHeight="false" outlineLevel="0" collapsed="false">
      <c r="A4" s="3"/>
      <c r="B4" s="3"/>
      <c r="C4" s="3"/>
      <c r="D4" s="3"/>
      <c r="E4" s="3"/>
      <c r="F4" s="3"/>
      <c r="G4" s="3"/>
      <c r="H4" s="3" t="s">
        <v>50</v>
      </c>
      <c r="I4" s="3" t="s">
        <v>50</v>
      </c>
      <c r="J4" s="3" t="s">
        <v>286</v>
      </c>
      <c r="K4" s="3"/>
      <c r="L4" s="3"/>
    </row>
    <row r="5" customFormat="false" ht="15" hidden="false" customHeight="false" outlineLevel="0" collapsed="false">
      <c r="A5" s="3"/>
      <c r="B5" s="3"/>
      <c r="C5" s="3"/>
      <c r="D5" s="3"/>
      <c r="E5" s="3"/>
      <c r="F5" s="3"/>
      <c r="G5" s="3"/>
      <c r="H5" s="3" t="s">
        <v>50</v>
      </c>
      <c r="I5" s="3" t="s">
        <v>50</v>
      </c>
      <c r="J5" s="3" t="s">
        <v>286</v>
      </c>
      <c r="K5" s="3"/>
      <c r="L5" s="3"/>
    </row>
    <row r="6" customFormat="false" ht="15" hidden="false" customHeight="false" outlineLevel="0" collapsed="false">
      <c r="A6" s="3"/>
      <c r="B6" s="3"/>
      <c r="C6" s="3"/>
      <c r="D6" s="3"/>
      <c r="E6" s="3"/>
      <c r="F6" s="3"/>
      <c r="G6" s="3"/>
      <c r="H6" s="3" t="s">
        <v>50</v>
      </c>
      <c r="I6" s="3" t="s">
        <v>50</v>
      </c>
      <c r="J6" s="3" t="s">
        <v>286</v>
      </c>
      <c r="K6" s="3"/>
      <c r="L6" s="3"/>
    </row>
    <row r="7" customFormat="false" ht="15" hidden="false" customHeight="false" outlineLevel="0" collapsed="false">
      <c r="A7" s="3"/>
      <c r="B7" s="3"/>
      <c r="C7" s="3"/>
      <c r="D7" s="3"/>
      <c r="E7" s="3"/>
      <c r="F7" s="3"/>
      <c r="G7" s="3"/>
      <c r="H7" s="3" t="s">
        <v>50</v>
      </c>
      <c r="I7" s="3" t="s">
        <v>50</v>
      </c>
      <c r="J7" s="3" t="s">
        <v>286</v>
      </c>
      <c r="K7" s="3"/>
      <c r="L7" s="3"/>
    </row>
    <row r="8" customFormat="false" ht="15" hidden="false" customHeight="false" outlineLevel="0" collapsed="false">
      <c r="A8" s="3"/>
      <c r="B8" s="3"/>
      <c r="C8" s="3"/>
      <c r="D8" s="3"/>
      <c r="E8" s="3"/>
      <c r="F8" s="3"/>
      <c r="G8" s="3"/>
      <c r="H8" s="3" t="s">
        <v>50</v>
      </c>
      <c r="I8" s="3" t="s">
        <v>50</v>
      </c>
      <c r="J8" s="3" t="s">
        <v>286</v>
      </c>
      <c r="K8" s="3"/>
      <c r="L8" s="3"/>
    </row>
    <row r="9" customFormat="false" ht="15" hidden="false" customHeight="false" outlineLevel="0" collapsed="false">
      <c r="A9" s="3"/>
      <c r="B9" s="3"/>
      <c r="C9" s="3"/>
      <c r="D9" s="3"/>
      <c r="E9" s="3"/>
      <c r="F9" s="3"/>
      <c r="G9" s="3"/>
      <c r="H9" s="3" t="s">
        <v>50</v>
      </c>
      <c r="I9" s="3" t="s">
        <v>50</v>
      </c>
      <c r="J9" s="3" t="s">
        <v>286</v>
      </c>
      <c r="K9" s="3"/>
      <c r="L9" s="3"/>
    </row>
    <row r="10" customFormat="false" ht="15" hidden="false" customHeight="false" outlineLevel="0" collapsed="false">
      <c r="A10" s="3"/>
      <c r="B10" s="3"/>
      <c r="C10" s="3"/>
      <c r="D10" s="3"/>
      <c r="E10" s="3"/>
      <c r="F10" s="3"/>
      <c r="G10" s="3"/>
      <c r="H10" s="3" t="s">
        <v>50</v>
      </c>
      <c r="I10" s="3" t="s">
        <v>50</v>
      </c>
      <c r="J10" s="3" t="s">
        <v>286</v>
      </c>
      <c r="K10" s="3"/>
      <c r="L10" s="3"/>
    </row>
    <row r="11" customFormat="false" ht="15" hidden="false" customHeight="false" outlineLevel="0" collapsed="false">
      <c r="A11" s="3"/>
      <c r="B11" s="3"/>
      <c r="C11" s="3"/>
      <c r="D11" s="3"/>
      <c r="E11" s="3"/>
      <c r="F11" s="3"/>
      <c r="G11" s="3"/>
      <c r="H11" s="3" t="s">
        <v>50</v>
      </c>
      <c r="I11" s="3" t="s">
        <v>50</v>
      </c>
      <c r="J11" s="3" t="s">
        <v>286</v>
      </c>
      <c r="K11" s="3"/>
      <c r="L11" s="3"/>
    </row>
    <row r="12" customFormat="false" ht="15" hidden="false" customHeight="false" outlineLevel="0" collapsed="false">
      <c r="A12" s="3"/>
      <c r="B12" s="3"/>
      <c r="C12" s="3"/>
      <c r="D12" s="3"/>
      <c r="E12" s="3"/>
      <c r="F12" s="3"/>
      <c r="G12" s="3"/>
      <c r="H12" s="3" t="s">
        <v>50</v>
      </c>
      <c r="I12" s="3" t="s">
        <v>50</v>
      </c>
      <c r="J12" s="3" t="s">
        <v>286</v>
      </c>
      <c r="K12" s="3"/>
      <c r="L12" s="3"/>
    </row>
    <row r="13" customFormat="false" ht="15" hidden="false" customHeight="false" outlineLevel="0" collapsed="false">
      <c r="A13" s="3"/>
      <c r="B13" s="3"/>
      <c r="C13" s="3"/>
      <c r="D13" s="3"/>
      <c r="E13" s="3"/>
      <c r="F13" s="3"/>
      <c r="G13" s="3"/>
      <c r="H13" s="3" t="s">
        <v>50</v>
      </c>
      <c r="I13" s="3" t="s">
        <v>50</v>
      </c>
      <c r="J13" s="3" t="s">
        <v>286</v>
      </c>
      <c r="K13" s="3"/>
      <c r="L13" s="3"/>
    </row>
    <row r="14" customFormat="false" ht="15" hidden="false" customHeight="false" outlineLevel="0" collapsed="false">
      <c r="A14" s="3"/>
      <c r="B14" s="3"/>
      <c r="C14" s="3"/>
      <c r="D14" s="3"/>
      <c r="E14" s="3"/>
      <c r="F14" s="3"/>
      <c r="G14" s="3"/>
      <c r="H14" s="3" t="s">
        <v>50</v>
      </c>
      <c r="I14" s="3" t="s">
        <v>50</v>
      </c>
      <c r="J14" s="3" t="s">
        <v>286</v>
      </c>
      <c r="K14" s="3"/>
      <c r="L14" s="3"/>
    </row>
    <row r="15" customFormat="false" ht="15" hidden="false" customHeight="false" outlineLevel="0" collapsed="false">
      <c r="A15" s="3"/>
      <c r="B15" s="3"/>
      <c r="C15" s="3"/>
      <c r="D15" s="3"/>
      <c r="E15" s="3"/>
      <c r="F15" s="3"/>
      <c r="G15" s="3"/>
      <c r="H15" s="3" t="s">
        <v>50</v>
      </c>
      <c r="I15" s="3" t="s">
        <v>50</v>
      </c>
      <c r="J15" s="3" t="s">
        <v>286</v>
      </c>
      <c r="K15" s="3"/>
      <c r="L15" s="3"/>
    </row>
    <row r="16" customFormat="false" ht="15" hidden="false" customHeight="false" outlineLevel="0" collapsed="false">
      <c r="A16" s="3"/>
      <c r="B16" s="3"/>
      <c r="C16" s="3"/>
      <c r="D16" s="3"/>
      <c r="E16" s="3"/>
      <c r="F16" s="3"/>
      <c r="G16" s="3"/>
      <c r="H16" s="3" t="s">
        <v>50</v>
      </c>
      <c r="I16" s="3" t="s">
        <v>50</v>
      </c>
      <c r="J16" s="3" t="s">
        <v>286</v>
      </c>
      <c r="K16" s="3"/>
      <c r="L16" s="3"/>
    </row>
    <row r="17" customFormat="false" ht="15" hidden="false" customHeight="false" outlineLevel="0" collapsed="false">
      <c r="A17" s="3"/>
      <c r="B17" s="3"/>
      <c r="C17" s="3"/>
      <c r="D17" s="3"/>
      <c r="E17" s="3"/>
      <c r="F17" s="3"/>
      <c r="G17" s="3"/>
      <c r="H17" s="3" t="s">
        <v>50</v>
      </c>
      <c r="I17" s="3" t="s">
        <v>50</v>
      </c>
      <c r="J17" s="3" t="s">
        <v>286</v>
      </c>
      <c r="K17" s="3"/>
      <c r="L17" s="3"/>
    </row>
    <row r="18" customFormat="false" ht="15" hidden="false" customHeight="false" outlineLevel="0" collapsed="false">
      <c r="A18" s="3"/>
      <c r="B18" s="3"/>
      <c r="C18" s="3"/>
      <c r="D18" s="3"/>
      <c r="E18" s="3"/>
      <c r="F18" s="3"/>
      <c r="G18" s="3"/>
      <c r="H18" s="3" t="s">
        <v>50</v>
      </c>
      <c r="I18" s="3" t="s">
        <v>50</v>
      </c>
      <c r="J18" s="3" t="s">
        <v>286</v>
      </c>
      <c r="K18" s="3"/>
      <c r="L18" s="3"/>
    </row>
    <row r="19" customFormat="false" ht="15" hidden="false" customHeight="false" outlineLevel="0" collapsed="false">
      <c r="A19" s="3"/>
      <c r="B19" s="3"/>
      <c r="C19" s="3"/>
      <c r="D19" s="3"/>
      <c r="E19" s="3"/>
      <c r="F19" s="3"/>
      <c r="G19" s="3"/>
      <c r="H19" s="3" t="s">
        <v>50</v>
      </c>
      <c r="I19" s="3" t="s">
        <v>50</v>
      </c>
      <c r="J19" s="3" t="s">
        <v>286</v>
      </c>
      <c r="K19" s="3"/>
      <c r="L19" s="3"/>
    </row>
    <row r="20" customFormat="false" ht="15" hidden="false" customHeight="false" outlineLevel="0" collapsed="false">
      <c r="A20" s="3"/>
      <c r="B20" s="3"/>
      <c r="C20" s="3"/>
      <c r="D20" s="3"/>
      <c r="E20" s="3"/>
      <c r="F20" s="3"/>
      <c r="G20" s="3"/>
      <c r="H20" s="3" t="s">
        <v>50</v>
      </c>
      <c r="I20" s="3" t="s">
        <v>50</v>
      </c>
      <c r="J20" s="3" t="s">
        <v>286</v>
      </c>
      <c r="K20" s="3"/>
      <c r="L20" s="3"/>
    </row>
    <row r="21" customFormat="false" ht="15" hidden="false" customHeight="false" outlineLevel="0" collapsed="false">
      <c r="A21" s="3"/>
      <c r="B21" s="3"/>
      <c r="C21" s="3"/>
      <c r="D21" s="3"/>
      <c r="E21" s="3"/>
      <c r="F21" s="3"/>
      <c r="G21" s="3"/>
      <c r="H21" s="3" t="s">
        <v>50</v>
      </c>
      <c r="I21" s="3" t="s">
        <v>50</v>
      </c>
      <c r="J21" s="3" t="s">
        <v>286</v>
      </c>
      <c r="K21" s="3"/>
      <c r="L21" s="3"/>
    </row>
    <row r="22" customFormat="false" ht="15" hidden="false" customHeight="false" outlineLevel="0" collapsed="false">
      <c r="A22" s="3"/>
      <c r="B22" s="3"/>
      <c r="C22" s="3"/>
      <c r="D22" s="3"/>
      <c r="E22" s="3"/>
      <c r="F22" s="3"/>
      <c r="G22" s="3"/>
      <c r="H22" s="3" t="s">
        <v>50</v>
      </c>
      <c r="I22" s="3" t="s">
        <v>50</v>
      </c>
      <c r="J22" s="3" t="s">
        <v>286</v>
      </c>
      <c r="K22" s="3"/>
      <c r="L22" s="3"/>
    </row>
    <row r="23" customFormat="false" ht="15" hidden="false" customHeight="false" outlineLevel="0" collapsed="false">
      <c r="A23" s="3"/>
      <c r="B23" s="3"/>
      <c r="C23" s="3"/>
      <c r="D23" s="3"/>
      <c r="E23" s="3"/>
      <c r="F23" s="3"/>
      <c r="G23" s="3"/>
      <c r="H23" s="3" t="s">
        <v>50</v>
      </c>
      <c r="I23" s="3" t="s">
        <v>50</v>
      </c>
      <c r="J23" s="3" t="s">
        <v>286</v>
      </c>
      <c r="K23" s="3"/>
      <c r="L23" s="3"/>
    </row>
    <row r="24" customFormat="false" ht="15" hidden="false" customHeight="false" outlineLevel="0" collapsed="false">
      <c r="A24" s="3"/>
      <c r="B24" s="3"/>
      <c r="C24" s="3"/>
      <c r="D24" s="3"/>
      <c r="E24" s="3"/>
      <c r="F24" s="3"/>
      <c r="G24" s="3"/>
      <c r="H24" s="3" t="s">
        <v>50</v>
      </c>
      <c r="I24" s="3" t="s">
        <v>50</v>
      </c>
      <c r="J24" s="3" t="s">
        <v>286</v>
      </c>
      <c r="K24" s="3"/>
      <c r="L24" s="3"/>
    </row>
    <row r="25" customFormat="false" ht="15" hidden="false" customHeight="false" outlineLevel="0" collapsed="false">
      <c r="A25" s="3"/>
      <c r="B25" s="3"/>
      <c r="C25" s="3"/>
      <c r="D25" s="3"/>
      <c r="E25" s="3"/>
      <c r="F25" s="3"/>
      <c r="G25" s="3"/>
      <c r="H25" s="3" t="s">
        <v>50</v>
      </c>
      <c r="I25" s="3" t="s">
        <v>50</v>
      </c>
      <c r="J25" s="3" t="s">
        <v>286</v>
      </c>
      <c r="K25" s="3"/>
      <c r="L25" s="3"/>
    </row>
    <row r="26" customFormat="false" ht="15" hidden="false" customHeight="false" outlineLevel="0" collapsed="false">
      <c r="A26" s="3"/>
      <c r="B26" s="3"/>
      <c r="C26" s="3"/>
      <c r="D26" s="3"/>
      <c r="E26" s="3"/>
      <c r="F26" s="3"/>
      <c r="G26" s="3"/>
      <c r="H26" s="3" t="s">
        <v>50</v>
      </c>
      <c r="I26" s="3" t="s">
        <v>50</v>
      </c>
      <c r="J26" s="3" t="s">
        <v>286</v>
      </c>
      <c r="K26" s="3"/>
      <c r="L26" s="3"/>
    </row>
    <row r="27" customFormat="false" ht="15" hidden="false" customHeight="false" outlineLevel="0" collapsed="false">
      <c r="A27" s="3"/>
      <c r="B27" s="3"/>
      <c r="C27" s="3"/>
      <c r="D27" s="3"/>
      <c r="E27" s="3"/>
      <c r="F27" s="3"/>
      <c r="G27" s="3"/>
      <c r="H27" s="3" t="s">
        <v>50</v>
      </c>
      <c r="I27" s="3" t="s">
        <v>50</v>
      </c>
      <c r="J27" s="3" t="s">
        <v>286</v>
      </c>
      <c r="K27" s="3"/>
      <c r="L27" s="3"/>
    </row>
    <row r="28" customFormat="false" ht="15" hidden="false" customHeight="false" outlineLevel="0" collapsed="false">
      <c r="A28" s="3"/>
      <c r="B28" s="3"/>
      <c r="C28" s="3"/>
      <c r="D28" s="3"/>
      <c r="E28" s="3"/>
      <c r="F28" s="3"/>
      <c r="G28" s="3"/>
      <c r="H28" s="3" t="s">
        <v>50</v>
      </c>
      <c r="I28" s="3" t="s">
        <v>50</v>
      </c>
      <c r="J28" s="3" t="s">
        <v>286</v>
      </c>
      <c r="K28" s="3"/>
      <c r="L28" s="3"/>
    </row>
  </sheetData>
  <mergeCells count="1">
    <mergeCell ref="A1:L1"/>
  </mergeCells>
  <dataValidations count="3">
    <dataValidation allowBlank="false" errorStyle="stop" operator="between" showDropDown="false" showErrorMessage="false" showInputMessage="false" sqref="H4:H28" type="list">
      <formula1>"Critical,High,Medium,Low"</formula1>
      <formula2>0</formula2>
    </dataValidation>
    <dataValidation allowBlank="false" errorStyle="stop" operator="between" showDropDown="false" showErrorMessage="false" showInputMessage="false" sqref="I4:I28" type="list">
      <formula1>"Critical,High,Medium,Low"</formula1>
      <formula2>0</formula2>
    </dataValidation>
    <dataValidation allowBlank="false" errorStyle="stop" operator="between" showDropDown="false" showErrorMessage="false" showInputMessage="false" sqref="J4:J28" type="list">
      <formula1>"Open,In Progress,Ready for Retest,Closed,Deferred"</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32"/>
    <col collapsed="false" customWidth="true" hidden="false" outlineLevel="0" max="3" min="3" style="0" width="18"/>
    <col collapsed="false" customWidth="true" hidden="false" outlineLevel="0" max="4" min="4" style="0" width="28"/>
    <col collapsed="false" customWidth="true" hidden="false" outlineLevel="0" max="5" min="5" style="0" width="18"/>
    <col collapsed="false" customWidth="true" hidden="false" outlineLevel="0" max="6" min="6" style="0" width="28"/>
  </cols>
  <sheetData>
    <row r="1" customFormat="false" ht="19.7" hidden="false" customHeight="false" outlineLevel="0" collapsed="false">
      <c r="A1" s="1" t="s">
        <v>287</v>
      </c>
      <c r="B1" s="1"/>
      <c r="C1" s="1"/>
      <c r="D1" s="1"/>
      <c r="E1" s="1"/>
      <c r="F1" s="1"/>
    </row>
    <row r="3" customFormat="false" ht="15" hidden="false" customHeight="false" outlineLevel="0" collapsed="false">
      <c r="A3" s="3" t="s">
        <v>2</v>
      </c>
      <c r="B3" s="3" t="s">
        <v>3</v>
      </c>
      <c r="C3" s="3" t="s">
        <v>4</v>
      </c>
      <c r="D3" s="3" t="s">
        <v>5</v>
      </c>
      <c r="E3" s="3" t="s">
        <v>6</v>
      </c>
      <c r="F3" s="3" t="s">
        <v>7</v>
      </c>
    </row>
    <row r="4" customFormat="false" ht="15" hidden="false" customHeight="false" outlineLevel="0" collapsed="false">
      <c r="A4" s="3" t="s">
        <v>288</v>
      </c>
      <c r="B4" s="3" t="s">
        <v>289</v>
      </c>
      <c r="C4" s="3" t="s">
        <v>16</v>
      </c>
      <c r="D4" s="3" t="s">
        <v>17</v>
      </c>
      <c r="E4" s="3" t="s">
        <v>290</v>
      </c>
      <c r="F4" s="3"/>
    </row>
    <row r="5" customFormat="false" ht="15" hidden="false" customHeight="false" outlineLevel="0" collapsed="false">
      <c r="A5" s="3" t="s">
        <v>291</v>
      </c>
      <c r="B5" s="3"/>
      <c r="C5" s="3" t="s">
        <v>292</v>
      </c>
      <c r="D5" s="3"/>
      <c r="E5" s="3" t="s">
        <v>293</v>
      </c>
      <c r="F5" s="3"/>
    </row>
    <row r="6" customFormat="false" ht="15" hidden="false" customHeight="false" outlineLevel="0" collapsed="false">
      <c r="A6" s="3" t="s">
        <v>56</v>
      </c>
      <c r="B6" s="3"/>
      <c r="C6" s="3"/>
      <c r="D6" s="3"/>
      <c r="E6" s="3"/>
      <c r="F6" s="3"/>
    </row>
    <row r="7" customFormat="false" ht="15" hidden="false" customHeight="false" outlineLevel="0" collapsed="false">
      <c r="A7" s="3"/>
      <c r="B7" s="3"/>
      <c r="C7" s="3"/>
      <c r="D7" s="3"/>
      <c r="E7" s="3"/>
      <c r="F7" s="3"/>
    </row>
    <row r="8" customFormat="false" ht="23.85" hidden="false" customHeight="true" outlineLevel="0" collapsed="false">
      <c r="A8" s="3" t="s">
        <v>294</v>
      </c>
      <c r="B8" s="3"/>
      <c r="C8" s="3"/>
      <c r="D8" s="3"/>
      <c r="E8" s="3"/>
      <c r="F8" s="3"/>
    </row>
  </sheetData>
  <mergeCells count="2">
    <mergeCell ref="A1:F1"/>
    <mergeCell ref="A8:F8"/>
  </mergeCells>
  <dataValidations count="1">
    <dataValidation allowBlank="false" errorStyle="stop" operator="between" showDropDown="false" showErrorMessage="false" showInputMessage="false" sqref="B5" type="list">
      <formula1>"Accepted,Accepted with Conditions,Rejected / Retest Required"</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2026-10-03T08:30:52Z</dcterms:modified>
  <cp:revision>1</cp:revision>
  <dc:subject/>
  <dc:title/>
</cp:coreProperties>
</file>