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yawz\Downloads\"/>
    </mc:Choice>
  </mc:AlternateContent>
  <xr:revisionPtr revIDLastSave="0" documentId="13_ncr:1_{FE45BE63-09BB-49EF-81C3-5548B3DA4A4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UAT Test Cases" sheetId="1" r:id="rId1"/>
    <sheet name="Final Traceability" sheetId="2" r:id="rId2"/>
    <sheet name="UAT 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3" l="1"/>
  <c r="B7" i="3"/>
  <c r="B6" i="3"/>
  <c r="B5" i="3"/>
  <c r="B4" i="3"/>
</calcChain>
</file>

<file path=xl/sharedStrings.xml><?xml version="1.0" encoding="utf-8"?>
<sst xmlns="http://schemas.openxmlformats.org/spreadsheetml/2006/main" count="241" uniqueCount="169">
  <si>
    <t>SDT V1 — User Acceptance Testing (UAT)</t>
  </si>
  <si>
    <t>Validate the implemented Self Development Tracker against key requirements before final V1 sign-off.</t>
  </si>
  <si>
    <t>Test ID</t>
  </si>
  <si>
    <t>Requirement / Rule</t>
  </si>
  <si>
    <t>Functional Area</t>
  </si>
  <si>
    <t>UAT Scenario</t>
  </si>
  <si>
    <t>Expected Result</t>
  </si>
  <si>
    <t>Actual Result</t>
  </si>
  <si>
    <t>Status</t>
  </si>
  <si>
    <t>Tester Notes / Evidence</t>
  </si>
  <si>
    <t>UAT-01</t>
  </si>
  <si>
    <t>Challenge setup</t>
  </si>
  <si>
    <t>Challenge creation</t>
  </si>
  <si>
    <t>Create a challenge with name, start date, duration, strike allowance and at least one rule/task.</t>
  </si>
  <si>
    <t>Challenge is created and active dashboard is displayed.</t>
  </si>
  <si>
    <t>Not Tested</t>
  </si>
  <si>
    <t>UAT-02</t>
  </si>
  <si>
    <t>Challenge configuration</t>
  </si>
  <si>
    <t>Rules / tasks</t>
  </si>
  <si>
    <t>Add multiple rules/tasks before starting; reorder or remove them.</t>
  </si>
  <si>
    <t>Rules/tasks are stored in the selected order and appear in the daily checklist.</t>
  </si>
  <si>
    <t>UAT-03</t>
  </si>
  <si>
    <t>Configuration lock</t>
  </si>
  <si>
    <t>Start challenge</t>
  </si>
  <si>
    <t>Start a configured challenge.</t>
  </si>
  <si>
    <t>Challenge becomes active and its core configuration is locked.</t>
  </si>
  <si>
    <t>UAT-04</t>
  </si>
  <si>
    <t>Daily tracking</t>
  </si>
  <si>
    <t>Today quick access</t>
  </si>
  <si>
    <t>Click Today during an active challenge.</t>
  </si>
  <si>
    <t>Checklist for the current challenge day opens directly.</t>
  </si>
  <si>
    <t>UAT-05</t>
  </si>
  <si>
    <t>Save daily record</t>
  </si>
  <si>
    <t>Tick/untick daily tasks and click Save.</t>
  </si>
  <si>
    <t>Statuses save, progress recalculates and Day Details closes automatically.</t>
  </si>
  <si>
    <t>UAT-06</t>
  </si>
  <si>
    <t>Historical tracking</t>
  </si>
  <si>
    <t>Calendar records</t>
  </si>
  <si>
    <t>Open a previous eligible challenge day and review/edit its checklist.</t>
  </si>
  <si>
    <t>Stored record displays and permitted changes save correctly.</t>
  </si>
  <si>
    <t>UAT-07</t>
  </si>
  <si>
    <t>Date boundary</t>
  </si>
  <si>
    <t>Calendar availability</t>
  </si>
  <si>
    <t>Attempt to select dates before start or after end date.</t>
  </si>
  <si>
    <t>Out-of-range dates are greyed out and non-clickable.</t>
  </si>
  <si>
    <t>UAT-08</t>
  </si>
  <si>
    <t>Unrecorded-day rule</t>
  </si>
  <si>
    <t>Progress calculation</t>
  </si>
  <si>
    <t>Leave an eligible day without recording a checklist.</t>
  </si>
  <si>
    <t>Day remains unrecorded and does not automatically consume strikes or count completed.</t>
  </si>
  <si>
    <t>UAT-09</t>
  </si>
  <si>
    <t>Strike tracking</t>
  </si>
  <si>
    <t>Rule performance</t>
  </si>
  <si>
    <t>Save a recorded day with one or more rules not completed.</t>
  </si>
  <si>
    <t>Missed recorded rules are reflected in rule-level performance/strike calculations.</t>
  </si>
  <si>
    <t>UAT-10</t>
  </si>
  <si>
    <t>Progress monitoring</t>
  </si>
  <si>
    <t>Dashboard</t>
  </si>
  <si>
    <t>Review dashboard after recording progress.</t>
  </si>
  <si>
    <t>Progress, completed days, calendar percentages and strike information reflect saved data.</t>
  </si>
  <si>
    <t>UAT-11</t>
  </si>
  <si>
    <t>Progress reporting</t>
  </si>
  <si>
    <t>Progress report</t>
  </si>
  <si>
    <t>Generate the in-progress report.</t>
  </si>
  <si>
    <t>Report displays recorded/perfect days, task metrics, unrecorded days, strikes and rule performance.</t>
  </si>
  <si>
    <t>UAT-12</t>
  </si>
  <si>
    <t>Report output</t>
  </si>
  <si>
    <t>Print report</t>
  </si>
  <si>
    <t>Use print from a progress/final report.</t>
  </si>
  <si>
    <t>Browser print workflow opens with a printable report layout.</t>
  </si>
  <si>
    <t>UAT-13</t>
  </si>
  <si>
    <t>Manual completion</t>
  </si>
  <si>
    <t>End challenge</t>
  </si>
  <si>
    <t>Click End Challenge and cancel confirmation.</t>
  </si>
  <si>
    <t>Challenge remains active.</t>
  </si>
  <si>
    <t>UAT-14</t>
  </si>
  <si>
    <t>Click End Challenge and confirm.</t>
  </si>
  <si>
    <t>Challenge ends and final/end-of-challenge report becomes available.</t>
  </si>
  <si>
    <t>UAT-15</t>
  </si>
  <si>
    <t>Natural completion</t>
  </si>
  <si>
    <t>Final report</t>
  </si>
  <si>
    <t>Reach the planned end of a challenge.</t>
  </si>
  <si>
    <t>Application recognises completion and provides the final report.</t>
  </si>
  <si>
    <t>UAT-16</t>
  </si>
  <si>
    <t>New challenge lifecycle</t>
  </si>
  <si>
    <t>New challenge</t>
  </si>
  <si>
    <t>After ending/completing a challenge, start a new challenge.</t>
  </si>
  <si>
    <t>Setup screen is available and a new independent challenge can be started.</t>
  </si>
  <si>
    <t>SDT V1 — Final Requirements Traceability Matrix</t>
  </si>
  <si>
    <t>Final BA traceability linking requirements to implemented SDT features and UAT evidence.</t>
  </si>
  <si>
    <t>Trace ID</t>
  </si>
  <si>
    <t>Requirement / Business Rule</t>
  </si>
  <si>
    <t>Implemented Feature / Evidence</t>
  </si>
  <si>
    <t>Related UAT</t>
  </si>
  <si>
    <t>Verification Status</t>
  </si>
  <si>
    <t>Final Notes</t>
  </si>
  <si>
    <t>TR-01</t>
  </si>
  <si>
    <t>Configure a challenge before it starts.</t>
  </si>
  <si>
    <t>Challenge Setup</t>
  </si>
  <si>
    <t>Setup screen captures challenge name, start date, duration and strike allowance.</t>
  </si>
  <si>
    <t>Pending UAT</t>
  </si>
  <si>
    <t>TR-02</t>
  </si>
  <si>
    <t>Define rules/tasks for the entire challenge.</t>
  </si>
  <si>
    <t>Rules &amp; Tasks UI supports adding, removing and ordering items before start.</t>
  </si>
  <si>
    <t>TR-03</t>
  </si>
  <si>
    <t>Lock configuration after challenge start.</t>
  </si>
  <si>
    <t>Start Challenge persists configuration and opens active dashboard.</t>
  </si>
  <si>
    <t>TR-04</t>
  </si>
  <si>
    <t>Quickly access today's checklist.</t>
  </si>
  <si>
    <t>Daily Tracking</t>
  </si>
  <si>
    <t>Today button opens Day Details for current challenge day.</t>
  </si>
  <si>
    <t>TR-05</t>
  </si>
  <si>
    <t>Record completed/not-completed daily tasks.</t>
  </si>
  <si>
    <t>Day Details saves per-task completion status.</t>
  </si>
  <si>
    <t>TR-06</t>
  </si>
  <si>
    <t>Review/edit eligible historical records.</t>
  </si>
  <si>
    <t>Calendar opens stored checklist state for eligible dates.</t>
  </si>
  <si>
    <t>TR-07</t>
  </si>
  <si>
    <t>Only challenge dates are available for tracking.</t>
  </si>
  <si>
    <t>Date Control</t>
  </si>
  <si>
    <t>Outside-range dates are disabled and non-clickable.</t>
  </si>
  <si>
    <t>TR-08</t>
  </si>
  <si>
    <t>Unrecorded days are not automatically failures.</t>
  </si>
  <si>
    <t>Business Rule</t>
  </si>
  <si>
    <t>No DayStatus record means the day remains unrecorded.</t>
  </si>
  <si>
    <t>TR-09</t>
  </si>
  <si>
    <t>Track rule misses/strikes for recorded days.</t>
  </si>
  <si>
    <t>Monitoring</t>
  </si>
  <si>
    <t>Rule performance and strike information derived from DayStatus data.</t>
  </si>
  <si>
    <t>TR-10</t>
  </si>
  <si>
    <t>Monitor overall challenge progress.</t>
  </si>
  <si>
    <t>Progress bar, completed-day count, calendar percentages and strikes summary.</t>
  </si>
  <si>
    <t>TR-11</t>
  </si>
  <si>
    <t>Generate an in-progress performance report.</t>
  </si>
  <si>
    <t>Reporting</t>
  </si>
  <si>
    <t>Progress report calculates challenge and rule-level metrics.</t>
  </si>
  <si>
    <t>TR-12</t>
  </si>
  <si>
    <t>Print reports.</t>
  </si>
  <si>
    <t>View/Print Report invokes browser print workflow.</t>
  </si>
  <si>
    <t>TR-13</t>
  </si>
  <si>
    <t>Manual termination requires confirmation.</t>
  </si>
  <si>
    <t>Completion</t>
  </si>
  <si>
    <t>End Challenge asks for confirmation before status change.</t>
  </si>
  <si>
    <t>UAT-13; UAT-14</t>
  </si>
  <si>
    <t>TR-14</t>
  </si>
  <si>
    <t>Manual ending produces final reporting.</t>
  </si>
  <si>
    <t>Completion / Reporting</t>
  </si>
  <si>
    <t>Confirmed end records completion and provides final report.</t>
  </si>
  <si>
    <t>TR-15</t>
  </si>
  <si>
    <t>Planned completion produces final reporting.</t>
  </si>
  <si>
    <t>Natural end is recognised and final report is available.</t>
  </si>
  <si>
    <t>TR-16</t>
  </si>
  <si>
    <t>Start a new challenge after the previous one ends.</t>
  </si>
  <si>
    <t>Lifecycle</t>
  </si>
  <si>
    <t>No-active-challenge state returns user to setup flow.</t>
  </si>
  <si>
    <t>SDT V1 — UAT Sign-off Summary</t>
  </si>
  <si>
    <t>Metric</t>
  </si>
  <si>
    <t>Result</t>
  </si>
  <si>
    <t>How to use:
1. Run each UAT scenario in SDT.
2. Enter the actual result.
3. Set PASS / FAIL / Blocked.
4. Add screenshot/evidence references.
5. Update Final Traceability to Verified or Issue Found.
6. Complete the final UAT decision.</t>
  </si>
  <si>
    <t>Total Test Cases</t>
  </si>
  <si>
    <t>Passed</t>
  </si>
  <si>
    <t>Failed</t>
  </si>
  <si>
    <t>Blocked</t>
  </si>
  <si>
    <t>Final UAT Decision</t>
  </si>
  <si>
    <t>Pending</t>
  </si>
  <si>
    <t>Prepared / Tested By</t>
  </si>
  <si>
    <t>Sign-off Date</t>
  </si>
  <si>
    <t>Pass</t>
  </si>
  <si>
    <t>Day Details doesn’t automatically close. [25 Aug]
Fixed [26 Aug]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</si>
</sst>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6"/>
      <color rgb="FFFFFFFF"/>
      <name val="Carlito"/>
    </font>
    <font>
      <i/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4" borderId="0" xfId="0" applyFont="1" applyFill="1"/>
    <xf numFmtId="0" fontId="3" fillId="4" borderId="0" xfId="0" applyFont="1" applyFill="1" applyAlignment="1">
      <alignment horizont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4" fillId="3" borderId="0" xfId="0" applyFont="1" applyFill="1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wrapText="1"/>
    </xf>
    <xf numFmtId="0" fontId="1" fillId="2" borderId="0" xfId="0" applyFont="1" applyFill="1" applyAlignment="1">
      <alignment horizontal="center"/>
    </xf>
    <xf numFmtId="0" fontId="0" fillId="5" borderId="0" xfId="0" applyFill="1" applyAlignment="1">
      <alignment vertical="top" wrapText="1"/>
    </xf>
  </cellXfs>
  <cellStyles count="1">
    <cellStyle name="Normal" xfId="0" builtinId="0"/>
  </cellStyles>
  <dxfs count="5"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375623"/>
      </font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workbookViewId="0">
      <selection activeCell="H5" sqref="H5"/>
    </sheetView>
  </sheetViews>
  <sheetFormatPr defaultRowHeight="13.8"/>
  <cols>
    <col min="1" max="1" width="12" customWidth="1"/>
    <col min="2" max="3" width="22" customWidth="1"/>
    <col min="4" max="4" width="38" customWidth="1"/>
    <col min="5" max="5" width="42" customWidth="1"/>
    <col min="6" max="6" width="34" customWidth="1"/>
    <col min="7" max="7" width="14" customWidth="1"/>
    <col min="8" max="8" width="32" customWidth="1"/>
  </cols>
  <sheetData>
    <row r="1" spans="1:8" ht="22.35" customHeight="1">
      <c r="A1" s="6" t="s">
        <v>0</v>
      </c>
      <c r="B1" s="6"/>
      <c r="C1" s="6"/>
      <c r="D1" s="6"/>
      <c r="E1" s="6"/>
      <c r="F1" s="6"/>
      <c r="G1" s="6"/>
      <c r="H1" s="6"/>
    </row>
    <row r="2" spans="1:8" ht="14.4">
      <c r="A2" s="7" t="s">
        <v>1</v>
      </c>
      <c r="B2" s="7"/>
      <c r="C2" s="7"/>
      <c r="D2" s="7"/>
      <c r="E2" s="7"/>
      <c r="F2" s="7"/>
      <c r="G2" s="7"/>
      <c r="H2" s="7"/>
    </row>
    <row r="4" spans="1:8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8" ht="41.4">
      <c r="A5" s="4" t="s">
        <v>10</v>
      </c>
      <c r="B5" s="4" t="s">
        <v>11</v>
      </c>
      <c r="C5" s="4" t="s">
        <v>12</v>
      </c>
      <c r="D5" s="4" t="s">
        <v>13</v>
      </c>
      <c r="E5" s="4" t="s">
        <v>14</v>
      </c>
      <c r="F5" s="4" t="s">
        <v>167</v>
      </c>
      <c r="G5" s="4" t="s">
        <v>15</v>
      </c>
      <c r="H5" s="4"/>
    </row>
    <row r="6" spans="1:8" ht="27.6">
      <c r="A6" s="4" t="s">
        <v>16</v>
      </c>
      <c r="B6" s="4" t="s">
        <v>17</v>
      </c>
      <c r="C6" s="4" t="s">
        <v>18</v>
      </c>
      <c r="D6" s="4" t="s">
        <v>19</v>
      </c>
      <c r="E6" s="4" t="s">
        <v>20</v>
      </c>
      <c r="F6" s="4" t="s">
        <v>167</v>
      </c>
      <c r="G6" s="4" t="s">
        <v>15</v>
      </c>
      <c r="H6" s="4"/>
    </row>
    <row r="7" spans="1:8" ht="27.6">
      <c r="A7" s="4" t="s">
        <v>21</v>
      </c>
      <c r="B7" s="4" t="s">
        <v>22</v>
      </c>
      <c r="C7" s="4" t="s">
        <v>23</v>
      </c>
      <c r="D7" s="4" t="s">
        <v>24</v>
      </c>
      <c r="E7" s="4" t="s">
        <v>25</v>
      </c>
      <c r="F7" s="4" t="s">
        <v>167</v>
      </c>
      <c r="G7" s="4" t="s">
        <v>15</v>
      </c>
      <c r="H7" s="4"/>
    </row>
    <row r="8" spans="1:8" ht="27.6">
      <c r="A8" s="4" t="s">
        <v>26</v>
      </c>
      <c r="B8" s="4" t="s">
        <v>27</v>
      </c>
      <c r="C8" s="4" t="s">
        <v>28</v>
      </c>
      <c r="D8" s="4" t="s">
        <v>29</v>
      </c>
      <c r="E8" s="4" t="s">
        <v>30</v>
      </c>
      <c r="F8" s="4" t="s">
        <v>167</v>
      </c>
      <c r="G8" s="4" t="s">
        <v>15</v>
      </c>
      <c r="H8" s="4"/>
    </row>
    <row r="9" spans="1:8" ht="41.4">
      <c r="A9" s="4" t="s">
        <v>31</v>
      </c>
      <c r="B9" s="4" t="s">
        <v>27</v>
      </c>
      <c r="C9" s="4" t="s">
        <v>32</v>
      </c>
      <c r="D9" s="4" t="s">
        <v>33</v>
      </c>
      <c r="E9" s="4" t="s">
        <v>34</v>
      </c>
      <c r="F9" s="4" t="s">
        <v>167</v>
      </c>
      <c r="G9" s="4" t="s">
        <v>15</v>
      </c>
      <c r="H9" s="4" t="s">
        <v>168</v>
      </c>
    </row>
    <row r="10" spans="1:8" ht="27.6">
      <c r="A10" s="4" t="s">
        <v>35</v>
      </c>
      <c r="B10" s="4" t="s">
        <v>36</v>
      </c>
      <c r="C10" s="4" t="s">
        <v>37</v>
      </c>
      <c r="D10" s="4" t="s">
        <v>38</v>
      </c>
      <c r="E10" s="4" t="s">
        <v>39</v>
      </c>
      <c r="F10" s="4" t="s">
        <v>167</v>
      </c>
      <c r="G10" s="4" t="s">
        <v>15</v>
      </c>
      <c r="H10" s="4"/>
    </row>
    <row r="11" spans="1:8" ht="27.6">
      <c r="A11" s="4" t="s">
        <v>40</v>
      </c>
      <c r="B11" s="4" t="s">
        <v>41</v>
      </c>
      <c r="C11" s="4" t="s">
        <v>42</v>
      </c>
      <c r="D11" s="4" t="s">
        <v>43</v>
      </c>
      <c r="E11" s="4" t="s">
        <v>44</v>
      </c>
      <c r="F11" s="4" t="s">
        <v>167</v>
      </c>
      <c r="G11" s="4" t="s">
        <v>15</v>
      </c>
      <c r="H11" s="4"/>
    </row>
    <row r="12" spans="1:8" ht="27.6">
      <c r="A12" s="4" t="s">
        <v>45</v>
      </c>
      <c r="B12" s="4" t="s">
        <v>46</v>
      </c>
      <c r="C12" s="4" t="s">
        <v>47</v>
      </c>
      <c r="D12" s="4" t="s">
        <v>48</v>
      </c>
      <c r="E12" s="4" t="s">
        <v>49</v>
      </c>
      <c r="F12" s="4" t="s">
        <v>167</v>
      </c>
      <c r="G12" s="4" t="s">
        <v>15</v>
      </c>
      <c r="H12" s="4"/>
    </row>
    <row r="13" spans="1:8" ht="27.6">
      <c r="A13" s="4" t="s">
        <v>50</v>
      </c>
      <c r="B13" s="4" t="s">
        <v>51</v>
      </c>
      <c r="C13" s="4" t="s">
        <v>52</v>
      </c>
      <c r="D13" s="4" t="s">
        <v>53</v>
      </c>
      <c r="E13" s="4" t="s">
        <v>54</v>
      </c>
      <c r="F13" s="4" t="s">
        <v>167</v>
      </c>
      <c r="G13" s="4" t="s">
        <v>15</v>
      </c>
      <c r="H13" s="4"/>
    </row>
    <row r="14" spans="1:8" ht="27.6">
      <c r="A14" s="4" t="s">
        <v>55</v>
      </c>
      <c r="B14" s="4" t="s">
        <v>56</v>
      </c>
      <c r="C14" s="4" t="s">
        <v>57</v>
      </c>
      <c r="D14" s="4" t="s">
        <v>58</v>
      </c>
      <c r="E14" s="4" t="s">
        <v>59</v>
      </c>
      <c r="F14" s="4" t="s">
        <v>167</v>
      </c>
      <c r="G14" s="4" t="s">
        <v>15</v>
      </c>
      <c r="H14" s="4"/>
    </row>
    <row r="15" spans="1:8" ht="41.4">
      <c r="A15" s="4" t="s">
        <v>60</v>
      </c>
      <c r="B15" s="4" t="s">
        <v>61</v>
      </c>
      <c r="C15" s="4" t="s">
        <v>62</v>
      </c>
      <c r="D15" s="4" t="s">
        <v>63</v>
      </c>
      <c r="E15" s="4" t="s">
        <v>64</v>
      </c>
      <c r="F15" s="4" t="s">
        <v>167</v>
      </c>
      <c r="G15" s="4" t="s">
        <v>15</v>
      </c>
      <c r="H15" s="4"/>
    </row>
    <row r="16" spans="1:8" ht="27.6">
      <c r="A16" s="4" t="s">
        <v>65</v>
      </c>
      <c r="B16" s="4" t="s">
        <v>66</v>
      </c>
      <c r="C16" s="4" t="s">
        <v>67</v>
      </c>
      <c r="D16" s="4" t="s">
        <v>68</v>
      </c>
      <c r="E16" s="4" t="s">
        <v>69</v>
      </c>
      <c r="F16" s="4" t="s">
        <v>167</v>
      </c>
      <c r="G16" s="4" t="s">
        <v>15</v>
      </c>
      <c r="H16" s="4"/>
    </row>
    <row r="17" spans="1:8">
      <c r="A17" s="4" t="s">
        <v>70</v>
      </c>
      <c r="B17" s="4" t="s">
        <v>71</v>
      </c>
      <c r="C17" s="4" t="s">
        <v>72</v>
      </c>
      <c r="D17" s="4" t="s">
        <v>73</v>
      </c>
      <c r="E17" s="4" t="s">
        <v>74</v>
      </c>
      <c r="F17" s="4" t="s">
        <v>167</v>
      </c>
      <c r="G17" s="4" t="s">
        <v>15</v>
      </c>
      <c r="H17" s="4"/>
    </row>
    <row r="18" spans="1:8" ht="27.6">
      <c r="A18" s="4" t="s">
        <v>75</v>
      </c>
      <c r="B18" s="4" t="s">
        <v>71</v>
      </c>
      <c r="C18" s="4" t="s">
        <v>72</v>
      </c>
      <c r="D18" s="4" t="s">
        <v>76</v>
      </c>
      <c r="E18" s="4" t="s">
        <v>77</v>
      </c>
      <c r="F18" s="4" t="s">
        <v>167</v>
      </c>
      <c r="G18" s="4" t="s">
        <v>15</v>
      </c>
      <c r="H18" s="4"/>
    </row>
    <row r="19" spans="1:8" ht="27.6">
      <c r="A19" s="4" t="s">
        <v>78</v>
      </c>
      <c r="B19" s="4" t="s">
        <v>79</v>
      </c>
      <c r="C19" s="4" t="s">
        <v>80</v>
      </c>
      <c r="D19" s="4" t="s">
        <v>81</v>
      </c>
      <c r="E19" s="4" t="s">
        <v>82</v>
      </c>
      <c r="F19" s="4" t="s">
        <v>167</v>
      </c>
      <c r="G19" s="4" t="s">
        <v>15</v>
      </c>
      <c r="H19" s="4"/>
    </row>
    <row r="20" spans="1:8" ht="27.6">
      <c r="A20" s="4" t="s">
        <v>83</v>
      </c>
      <c r="B20" s="4" t="s">
        <v>84</v>
      </c>
      <c r="C20" s="4" t="s">
        <v>85</v>
      </c>
      <c r="D20" s="4" t="s">
        <v>86</v>
      </c>
      <c r="E20" s="4" t="s">
        <v>87</v>
      </c>
      <c r="F20" s="4" t="s">
        <v>167</v>
      </c>
      <c r="G20" s="4" t="s">
        <v>15</v>
      </c>
      <c r="H20" s="4"/>
    </row>
  </sheetData>
  <mergeCells count="2">
    <mergeCell ref="A1:H1"/>
    <mergeCell ref="A2:H2"/>
  </mergeCells>
  <conditionalFormatting sqref="G5:G20">
    <cfRule type="expression" dxfId="4" priority="1">
      <formula>G5="PASS"</formula>
    </cfRule>
    <cfRule type="expression" dxfId="3" priority="2">
      <formula>G5="FAIL"</formula>
    </cfRule>
    <cfRule type="expression" dxfId="2" priority="3">
      <formula>G5="Blocked"</formula>
    </cfRule>
  </conditionalFormatting>
  <dataValidations count="1">
    <dataValidation type="list" sqref="G5:G20" xr:uid="{00000000-0002-0000-0000-000000000000}">
      <formula1>"Not Tested,PASS,FAIL,Blocked"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workbookViewId="0"/>
  </sheetViews>
  <sheetFormatPr defaultRowHeight="13.8"/>
  <cols>
    <col min="1" max="1" width="11" customWidth="1"/>
    <col min="2" max="2" width="38" customWidth="1"/>
    <col min="3" max="3" width="25" customWidth="1"/>
    <col min="4" max="4" width="48" customWidth="1"/>
    <col min="5" max="6" width="18" customWidth="1"/>
    <col min="7" max="7" width="32" customWidth="1"/>
  </cols>
  <sheetData>
    <row r="1" spans="1:7" ht="21">
      <c r="A1" s="8" t="s">
        <v>88</v>
      </c>
      <c r="B1" s="8"/>
      <c r="C1" s="8"/>
      <c r="D1" s="8"/>
      <c r="E1" s="8"/>
      <c r="F1" s="8"/>
      <c r="G1" s="8"/>
    </row>
    <row r="2" spans="1:7" ht="14.4">
      <c r="A2" s="7" t="s">
        <v>89</v>
      </c>
      <c r="B2" s="7"/>
      <c r="C2" s="7"/>
      <c r="D2" s="7"/>
      <c r="E2" s="7"/>
      <c r="F2" s="7"/>
      <c r="G2" s="7"/>
    </row>
    <row r="4" spans="1:7">
      <c r="A4" s="2" t="s">
        <v>90</v>
      </c>
      <c r="B4" s="2" t="s">
        <v>91</v>
      </c>
      <c r="C4" s="2" t="s">
        <v>4</v>
      </c>
      <c r="D4" s="2" t="s">
        <v>92</v>
      </c>
      <c r="E4" s="2" t="s">
        <v>93</v>
      </c>
      <c r="F4" s="2" t="s">
        <v>94</v>
      </c>
      <c r="G4" s="2" t="s">
        <v>95</v>
      </c>
    </row>
    <row r="5" spans="1:7" ht="27.6">
      <c r="A5" s="4" t="s">
        <v>96</v>
      </c>
      <c r="B5" s="4" t="s">
        <v>97</v>
      </c>
      <c r="C5" s="4" t="s">
        <v>98</v>
      </c>
      <c r="D5" s="4" t="s">
        <v>99</v>
      </c>
      <c r="E5" s="4" t="s">
        <v>10</v>
      </c>
      <c r="F5" s="4" t="s">
        <v>100</v>
      </c>
      <c r="G5" s="4"/>
    </row>
    <row r="6" spans="1:7" ht="27.6">
      <c r="A6" s="4" t="s">
        <v>101</v>
      </c>
      <c r="B6" s="4" t="s">
        <v>102</v>
      </c>
      <c r="C6" s="4" t="s">
        <v>98</v>
      </c>
      <c r="D6" s="4" t="s">
        <v>103</v>
      </c>
      <c r="E6" s="4" t="s">
        <v>16</v>
      </c>
      <c r="F6" s="4" t="s">
        <v>100</v>
      </c>
      <c r="G6" s="4"/>
    </row>
    <row r="7" spans="1:7" ht="27.6">
      <c r="A7" s="4" t="s">
        <v>104</v>
      </c>
      <c r="B7" s="4" t="s">
        <v>105</v>
      </c>
      <c r="C7" s="4" t="s">
        <v>98</v>
      </c>
      <c r="D7" s="4" t="s">
        <v>106</v>
      </c>
      <c r="E7" s="4" t="s">
        <v>21</v>
      </c>
      <c r="F7" s="4" t="s">
        <v>100</v>
      </c>
      <c r="G7" s="4"/>
    </row>
    <row r="8" spans="1:7" ht="27.6">
      <c r="A8" s="4" t="s">
        <v>107</v>
      </c>
      <c r="B8" s="4" t="s">
        <v>108</v>
      </c>
      <c r="C8" s="4" t="s">
        <v>109</v>
      </c>
      <c r="D8" s="4" t="s">
        <v>110</v>
      </c>
      <c r="E8" s="4" t="s">
        <v>26</v>
      </c>
      <c r="F8" s="4" t="s">
        <v>100</v>
      </c>
      <c r="G8" s="4"/>
    </row>
    <row r="9" spans="1:7">
      <c r="A9" s="4" t="s">
        <v>111</v>
      </c>
      <c r="B9" s="4" t="s">
        <v>112</v>
      </c>
      <c r="C9" s="4" t="s">
        <v>109</v>
      </c>
      <c r="D9" s="4" t="s">
        <v>113</v>
      </c>
      <c r="E9" s="4" t="s">
        <v>31</v>
      </c>
      <c r="F9" s="4" t="s">
        <v>100</v>
      </c>
      <c r="G9" s="4"/>
    </row>
    <row r="10" spans="1:7">
      <c r="A10" s="4" t="s">
        <v>114</v>
      </c>
      <c r="B10" s="4" t="s">
        <v>115</v>
      </c>
      <c r="C10" s="4" t="s">
        <v>109</v>
      </c>
      <c r="D10" s="4" t="s">
        <v>116</v>
      </c>
      <c r="E10" s="4" t="s">
        <v>35</v>
      </c>
      <c r="F10" s="4" t="s">
        <v>100</v>
      </c>
      <c r="G10" s="4"/>
    </row>
    <row r="11" spans="1:7" ht="27.6">
      <c r="A11" s="4" t="s">
        <v>117</v>
      </c>
      <c r="B11" s="4" t="s">
        <v>118</v>
      </c>
      <c r="C11" s="4" t="s">
        <v>119</v>
      </c>
      <c r="D11" s="4" t="s">
        <v>120</v>
      </c>
      <c r="E11" s="4" t="s">
        <v>40</v>
      </c>
      <c r="F11" s="4" t="s">
        <v>100</v>
      </c>
      <c r="G11" s="4"/>
    </row>
    <row r="12" spans="1:7" ht="27.6">
      <c r="A12" s="4" t="s">
        <v>121</v>
      </c>
      <c r="B12" s="4" t="s">
        <v>122</v>
      </c>
      <c r="C12" s="4" t="s">
        <v>123</v>
      </c>
      <c r="D12" s="4" t="s">
        <v>124</v>
      </c>
      <c r="E12" s="4" t="s">
        <v>45</v>
      </c>
      <c r="F12" s="4" t="s">
        <v>100</v>
      </c>
      <c r="G12" s="4"/>
    </row>
    <row r="13" spans="1:7" ht="27.6">
      <c r="A13" s="4" t="s">
        <v>125</v>
      </c>
      <c r="B13" s="4" t="s">
        <v>126</v>
      </c>
      <c r="C13" s="4" t="s">
        <v>127</v>
      </c>
      <c r="D13" s="4" t="s">
        <v>128</v>
      </c>
      <c r="E13" s="4" t="s">
        <v>50</v>
      </c>
      <c r="F13" s="4" t="s">
        <v>100</v>
      </c>
      <c r="G13" s="4"/>
    </row>
    <row r="14" spans="1:7" ht="27.6">
      <c r="A14" s="4" t="s">
        <v>129</v>
      </c>
      <c r="B14" s="4" t="s">
        <v>130</v>
      </c>
      <c r="C14" s="4" t="s">
        <v>57</v>
      </c>
      <c r="D14" s="4" t="s">
        <v>131</v>
      </c>
      <c r="E14" s="4" t="s">
        <v>55</v>
      </c>
      <c r="F14" s="4" t="s">
        <v>100</v>
      </c>
      <c r="G14" s="4"/>
    </row>
    <row r="15" spans="1:7" ht="27.6">
      <c r="A15" s="4" t="s">
        <v>132</v>
      </c>
      <c r="B15" s="4" t="s">
        <v>133</v>
      </c>
      <c r="C15" s="4" t="s">
        <v>134</v>
      </c>
      <c r="D15" s="4" t="s">
        <v>135</v>
      </c>
      <c r="E15" s="4" t="s">
        <v>60</v>
      </c>
      <c r="F15" s="4" t="s">
        <v>100</v>
      </c>
      <c r="G15" s="4"/>
    </row>
    <row r="16" spans="1:7">
      <c r="A16" s="4" t="s">
        <v>136</v>
      </c>
      <c r="B16" s="4" t="s">
        <v>137</v>
      </c>
      <c r="C16" s="4" t="s">
        <v>134</v>
      </c>
      <c r="D16" s="4" t="s">
        <v>138</v>
      </c>
      <c r="E16" s="4" t="s">
        <v>65</v>
      </c>
      <c r="F16" s="4" t="s">
        <v>100</v>
      </c>
      <c r="G16" s="4"/>
    </row>
    <row r="17" spans="1:7" ht="27.6">
      <c r="A17" s="4" t="s">
        <v>139</v>
      </c>
      <c r="B17" s="4" t="s">
        <v>140</v>
      </c>
      <c r="C17" s="4" t="s">
        <v>141</v>
      </c>
      <c r="D17" s="4" t="s">
        <v>142</v>
      </c>
      <c r="E17" s="4" t="s">
        <v>143</v>
      </c>
      <c r="F17" s="4" t="s">
        <v>100</v>
      </c>
      <c r="G17" s="4"/>
    </row>
    <row r="18" spans="1:7" ht="27.6">
      <c r="A18" s="4" t="s">
        <v>144</v>
      </c>
      <c r="B18" s="4" t="s">
        <v>145</v>
      </c>
      <c r="C18" s="4" t="s">
        <v>146</v>
      </c>
      <c r="D18" s="4" t="s">
        <v>147</v>
      </c>
      <c r="E18" s="4" t="s">
        <v>75</v>
      </c>
      <c r="F18" s="4" t="s">
        <v>100</v>
      </c>
      <c r="G18" s="4"/>
    </row>
    <row r="19" spans="1:7">
      <c r="A19" s="4" t="s">
        <v>148</v>
      </c>
      <c r="B19" s="4" t="s">
        <v>149</v>
      </c>
      <c r="C19" s="4" t="s">
        <v>146</v>
      </c>
      <c r="D19" s="4" t="s">
        <v>150</v>
      </c>
      <c r="E19" s="4" t="s">
        <v>78</v>
      </c>
      <c r="F19" s="4" t="s">
        <v>100</v>
      </c>
      <c r="G19" s="4"/>
    </row>
    <row r="20" spans="1:7" ht="27.6">
      <c r="A20" s="4" t="s">
        <v>151</v>
      </c>
      <c r="B20" s="4" t="s">
        <v>152</v>
      </c>
      <c r="C20" s="4" t="s">
        <v>153</v>
      </c>
      <c r="D20" s="4" t="s">
        <v>154</v>
      </c>
      <c r="E20" s="4" t="s">
        <v>83</v>
      </c>
      <c r="F20" s="4" t="s">
        <v>100</v>
      </c>
      <c r="G20" s="4"/>
    </row>
  </sheetData>
  <mergeCells count="2">
    <mergeCell ref="A1:G1"/>
    <mergeCell ref="A2:G2"/>
  </mergeCells>
  <conditionalFormatting sqref="F5:F20">
    <cfRule type="expression" dxfId="1" priority="1">
      <formula>F5="Verified"</formula>
    </cfRule>
    <cfRule type="expression" dxfId="0" priority="2">
      <formula>F5="Issue Found"</formula>
    </cfRule>
  </conditionalFormatting>
  <dataValidations count="1">
    <dataValidation type="list" sqref="F5:F20" xr:uid="{00000000-0002-0000-0100-000000000000}">
      <formula1>"Pending UAT,Verified,Issue Found,Not Applicable"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"/>
  <sheetViews>
    <sheetView workbookViewId="0"/>
  </sheetViews>
  <sheetFormatPr defaultRowHeight="13.8"/>
  <cols>
    <col min="1" max="2" width="26" customWidth="1"/>
    <col min="4" max="6" width="22" customWidth="1"/>
  </cols>
  <sheetData>
    <row r="1" spans="1:6" ht="21">
      <c r="A1" s="8" t="s">
        <v>155</v>
      </c>
      <c r="B1" s="8"/>
      <c r="C1" s="8"/>
      <c r="D1" s="8"/>
      <c r="E1" s="8"/>
      <c r="F1" s="8"/>
    </row>
    <row r="3" spans="1:6">
      <c r="A3" s="1" t="s">
        <v>156</v>
      </c>
      <c r="B3" s="1" t="s">
        <v>157</v>
      </c>
      <c r="D3" s="9" t="s">
        <v>158</v>
      </c>
      <c r="E3" s="9"/>
      <c r="F3" s="9"/>
    </row>
    <row r="4" spans="1:6">
      <c r="A4" t="s">
        <v>159</v>
      </c>
      <c r="B4">
        <f>COUNTA('UAT Test Cases'!A5:A20)</f>
        <v>16</v>
      </c>
      <c r="D4" s="9"/>
      <c r="E4" s="9"/>
      <c r="F4" s="9"/>
    </row>
    <row r="5" spans="1:6">
      <c r="A5" t="s">
        <v>160</v>
      </c>
      <c r="B5">
        <f>COUNTIF('UAT Test Cases'!G5:G20,"PASS")</f>
        <v>0</v>
      </c>
      <c r="D5" s="9"/>
      <c r="E5" s="9"/>
      <c r="F5" s="9"/>
    </row>
    <row r="6" spans="1:6">
      <c r="A6" t="s">
        <v>161</v>
      </c>
      <c r="B6">
        <f>COUNTIF('UAT Test Cases'!G5:G20,"FAIL")</f>
        <v>0</v>
      </c>
      <c r="D6" s="9"/>
      <c r="E6" s="9"/>
      <c r="F6" s="9"/>
    </row>
    <row r="7" spans="1:6">
      <c r="A7" t="s">
        <v>162</v>
      </c>
      <c r="B7">
        <f>COUNTIF('UAT Test Cases'!G5:G20,"Blocked")</f>
        <v>0</v>
      </c>
      <c r="D7" s="9"/>
      <c r="E7" s="9"/>
      <c r="F7" s="9"/>
    </row>
    <row r="8" spans="1:6">
      <c r="A8" t="s">
        <v>15</v>
      </c>
      <c r="B8">
        <f>COUNTIF('UAT Test Cases'!G5:G20,"Not Tested")</f>
        <v>16</v>
      </c>
      <c r="D8" s="9"/>
      <c r="E8" s="9"/>
      <c r="F8" s="9"/>
    </row>
    <row r="10" spans="1:6">
      <c r="A10" s="5" t="s">
        <v>163</v>
      </c>
      <c r="B10" t="s">
        <v>164</v>
      </c>
    </row>
    <row r="11" spans="1:6">
      <c r="A11" s="5" t="s">
        <v>165</v>
      </c>
    </row>
    <row r="12" spans="1:6">
      <c r="A12" s="5" t="s">
        <v>166</v>
      </c>
    </row>
  </sheetData>
  <mergeCells count="2">
    <mergeCell ref="A1:F1"/>
    <mergeCell ref="D3:F8"/>
  </mergeCells>
  <dataValidations count="1">
    <dataValidation type="list" sqref="B10" xr:uid="{00000000-0002-0000-0200-000000000000}">
      <formula1>"Pending,Accepted,Accepted with Issues,Rejected"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UAT Test Cases</vt:lpstr>
      <vt:lpstr>Final Traceability</vt:lpstr>
      <vt:lpstr>UAT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KYAW ZAY HAN</cp:lastModifiedBy>
  <dcterms:modified xsi:type="dcterms:W3CDTF">2026-08-28T13:23:59Z</dcterms:modified>
</cp:coreProperties>
</file>